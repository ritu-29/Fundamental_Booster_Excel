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itu\Desktop\EXCEL_FILES\EXCEL PROJECT\"/>
    </mc:Choice>
  </mc:AlternateContent>
  <xr:revisionPtr revIDLastSave="0" documentId="8_{242F6CED-BE4C-410F-BB67-D1610A69A806}"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 i="2" l="1"/>
  <c r="K21" i="2"/>
  <c r="K13" i="2"/>
  <c r="K14" i="2"/>
  <c r="K15" i="2"/>
  <c r="K16" i="2"/>
  <c r="K17" i="2"/>
  <c r="K18" i="2"/>
  <c r="K19" i="2"/>
  <c r="K9" i="2"/>
  <c r="K10" i="2"/>
  <c r="K11" i="2"/>
  <c r="K12" i="2"/>
  <c r="K6" i="2"/>
  <c r="K7" i="2"/>
  <c r="K8" i="2"/>
  <c r="K4" i="2"/>
  <c r="K5" i="2"/>
  <c r="K3" i="2"/>
  <c r="K2" i="2"/>
  <c r="K21" i="4"/>
  <c r="J21" i="4"/>
  <c r="I21" i="4"/>
  <c r="L32" i="3"/>
  <c r="M28" i="2"/>
  <c r="L29" i="3"/>
  <c r="J12" i="4"/>
  <c r="M26" i="3"/>
  <c r="M22" i="3"/>
  <c r="J7" i="4"/>
  <c r="I7" i="4"/>
  <c r="M25" i="2"/>
  <c r="I3" i="4"/>
  <c r="I2" i="4"/>
  <c r="N17" i="3" a="1"/>
  <c r="N17" i="3" s="1"/>
  <c r="N18" i="3" a="1"/>
  <c r="N18" i="3" s="1"/>
  <c r="G2" i="2"/>
  <c r="M13" i="3"/>
  <c r="J16" i="4" a="1"/>
  <c r="J16" i="4" l="1"/>
  <c r="N19" i="2" l="1"/>
  <c r="N20" i="2"/>
  <c r="N21" i="2"/>
  <c r="N22" i="2"/>
  <c r="N18" i="2"/>
  <c r="N9" i="3"/>
  <c r="M11" i="2"/>
  <c r="J2" i="3"/>
  <c r="J3" i="3"/>
  <c r="J4" i="3"/>
  <c r="J5" i="3"/>
  <c r="J6" i="3"/>
  <c r="J7" i="3"/>
  <c r="J8" i="3"/>
  <c r="J9" i="3"/>
  <c r="J10" i="3"/>
  <c r="J11" i="3"/>
  <c r="J12" i="3"/>
  <c r="J13" i="3"/>
  <c r="J14" i="3"/>
  <c r="J15" i="3"/>
  <c r="J16" i="3"/>
  <c r="J17" i="3"/>
  <c r="J18" i="3"/>
  <c r="J19" i="3"/>
  <c r="J20" i="3"/>
  <c r="J21" i="3"/>
  <c r="H2" i="2"/>
  <c r="I2" i="2" s="1"/>
  <c r="J2" i="2"/>
  <c r="J3" i="2"/>
  <c r="J4" i="2"/>
  <c r="J5" i="2"/>
  <c r="J6" i="2"/>
  <c r="J7" i="2"/>
  <c r="J8" i="2"/>
  <c r="J9" i="2"/>
  <c r="J10" i="2"/>
  <c r="J11" i="2"/>
  <c r="J12" i="2"/>
  <c r="J13" i="2"/>
  <c r="J14" i="2"/>
  <c r="J15" i="2"/>
  <c r="J16" i="2"/>
  <c r="J17" i="2"/>
  <c r="J18" i="2"/>
  <c r="J19" i="2"/>
  <c r="J20" i="2"/>
  <c r="J21" i="2"/>
  <c r="G3" i="3"/>
  <c r="H3" i="3" s="1"/>
  <c r="I3" i="3" s="1"/>
  <c r="G4" i="3"/>
  <c r="H4" i="3" s="1"/>
  <c r="I4" i="3" s="1"/>
  <c r="G5" i="3"/>
  <c r="H5" i="3" s="1"/>
  <c r="I5" i="3" s="1"/>
  <c r="G6" i="3"/>
  <c r="H6" i="3" s="1"/>
  <c r="I6" i="3" s="1"/>
  <c r="G7" i="3"/>
  <c r="H7" i="3" s="1"/>
  <c r="I7" i="3" s="1"/>
  <c r="G8" i="3"/>
  <c r="H8" i="3" s="1"/>
  <c r="I8" i="3" s="1"/>
  <c r="G9" i="3"/>
  <c r="H9" i="3" s="1"/>
  <c r="I9" i="3" s="1"/>
  <c r="G10" i="3"/>
  <c r="H10" i="3" s="1"/>
  <c r="I10" i="3" s="1"/>
  <c r="G11" i="3"/>
  <c r="H11" i="3" s="1"/>
  <c r="I11" i="3" s="1"/>
  <c r="G12" i="3"/>
  <c r="H12" i="3" s="1"/>
  <c r="I12" i="3" s="1"/>
  <c r="G13" i="3"/>
  <c r="H13" i="3" s="1"/>
  <c r="I13" i="3" s="1"/>
  <c r="G14" i="3"/>
  <c r="H14" i="3" s="1"/>
  <c r="I14" i="3" s="1"/>
  <c r="G15" i="3"/>
  <c r="H15" i="3" s="1"/>
  <c r="I15" i="3" s="1"/>
  <c r="G16" i="3"/>
  <c r="H16" i="3" s="1"/>
  <c r="I16" i="3" s="1"/>
  <c r="G17" i="3"/>
  <c r="H17" i="3" s="1"/>
  <c r="I17" i="3" s="1"/>
  <c r="G18" i="3"/>
  <c r="H18" i="3" s="1"/>
  <c r="I18" i="3" s="1"/>
  <c r="G19" i="3"/>
  <c r="H19" i="3" s="1"/>
  <c r="I19" i="3" s="1"/>
  <c r="G20" i="3"/>
  <c r="H20" i="3" s="1"/>
  <c r="I20" i="3" s="1"/>
  <c r="G21" i="3"/>
  <c r="H21" i="3" s="1"/>
  <c r="I21" i="3" s="1"/>
  <c r="G2" i="3"/>
  <c r="H2" i="3" s="1"/>
  <c r="I2" i="3" s="1"/>
  <c r="G3" i="2" l="1"/>
  <c r="G4" i="2"/>
  <c r="H4" i="2" s="1"/>
  <c r="I4" i="2" s="1"/>
  <c r="G5" i="2"/>
  <c r="H5" i="2" s="1"/>
  <c r="I5" i="2" s="1"/>
  <c r="G6" i="2"/>
  <c r="G7" i="2"/>
  <c r="H7" i="2" s="1"/>
  <c r="I7" i="2" s="1"/>
  <c r="G8" i="2"/>
  <c r="H8" i="2" s="1"/>
  <c r="I8" i="2" s="1"/>
  <c r="G9" i="2"/>
  <c r="H9" i="2" s="1"/>
  <c r="I9" i="2" s="1"/>
  <c r="G10" i="2"/>
  <c r="H10" i="2" s="1"/>
  <c r="I10" i="2" s="1"/>
  <c r="G11" i="2"/>
  <c r="H11" i="2" s="1"/>
  <c r="I11" i="2" s="1"/>
  <c r="G12" i="2"/>
  <c r="H12" i="2" s="1"/>
  <c r="I12" i="2" s="1"/>
  <c r="G13" i="2"/>
  <c r="H13" i="2" s="1"/>
  <c r="I13" i="2" s="1"/>
  <c r="G14" i="2"/>
  <c r="H14" i="2" s="1"/>
  <c r="I14" i="2" s="1"/>
  <c r="G15" i="2"/>
  <c r="H15" i="2" s="1"/>
  <c r="I15" i="2" s="1"/>
  <c r="G16" i="2"/>
  <c r="H16" i="2" s="1"/>
  <c r="I16" i="2" s="1"/>
  <c r="G17" i="2"/>
  <c r="H17" i="2" s="1"/>
  <c r="I17" i="2" s="1"/>
  <c r="G18" i="2"/>
  <c r="H18" i="2" s="1"/>
  <c r="I18" i="2" s="1"/>
  <c r="G19" i="2"/>
  <c r="G20" i="2"/>
  <c r="H20" i="2" s="1"/>
  <c r="I20" i="2" s="1"/>
  <c r="G21" i="2"/>
  <c r="H21" i="2" s="1"/>
  <c r="I21" i="2" s="1"/>
  <c r="H3" i="2"/>
  <c r="H6" i="2"/>
  <c r="I6" i="2" s="1"/>
  <c r="H19" i="2"/>
  <c r="I19" i="2" s="1"/>
  <c r="I3" i="2" l="1"/>
  <c r="M1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<sst xmlns="http://schemas.openxmlformats.org/spreadsheetml/2006/main" count="253" uniqueCount="188">
  <si>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</si>
  <si>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</si>
  <si>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</si>
  <si>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</si>
  <si>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</si>
  <si>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</si>
  <si>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</si>
  <si>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</si>
  <si>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</si>
  <si>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</si>
  <si>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</si>
  <si>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</si>
  <si>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</si>
  <si>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</si>
  <si>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</si>
  <si>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</si>
  <si>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</si>
  <si>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</si>
  <si>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</si>
  <si>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</si>
  <si>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</si>
  <si>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</si>
  <si>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</si>
  <si>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</si>
  <si>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</si>
  <si>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</si>
  <si>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</si>
  <si>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</si>
  <si>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</si>
  <si>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</si>
  <si>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</si>
  <si>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</si>
  <si>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</si>
  <si>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</si>
  <si>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</si>
  <si>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</si>
  <si>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</si>
  <si>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</si>
  <si>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</si>
  <si>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</si>
  <si>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</si>
  <si>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</si>
  <si>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</si>
  <si>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</si>
  <si>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</si>
  <si>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</si>
  <si>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</si>
  <si>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</si>
  <si>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</si>
  <si>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</si>
  <si>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</si>
  <si>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</si>
  <si>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</si>
  <si>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</si>
  <si>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</si>
  <si>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</si>
  <si>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</si>
  <si>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</si>
  <si>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</si>
  <si>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</si>
  <si>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</si>
  <si>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</si>
  <si>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</si>
  <si>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</si>
  <si>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</si>
  <si>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</si>
  <si>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</si>
  <si>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</si>
  <si>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</si>
  <si>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</si>
  <si>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</si>
  <si>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</si>
  <si>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</si>
  <si>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</si>
  <si>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</si>
  <si>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</si>
  <si>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</si>
  <si>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</si>
  <si>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</si>
  <si>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</si>
  <si>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</si>
  <si>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</si>
  <si>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</si>
  <si>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</si>
  <si>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</si>
  <si>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</si>
  <si>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</si>
  <si>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</si>
  <si>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</si>
  <si>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</si>
  <si>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</si>
  <si>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</si>
  <si>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</si>
  <si>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</si>
  <si>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</si>
  <si>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</si>
  <si>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</si>
  <si>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</si>
  <si>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</si>
  <si>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</si>
  <si>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</si>
  <si>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</si>
  <si>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</si>
  <si>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</si>
  <si>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</si>
  <si>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</si>
  <si>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</si>
  <si>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</si>
  <si>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</si>
  <si>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</si>
  <si>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</si>
  <si>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</si>
  <si>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</si>
  <si>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</si>
  <si>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</si>
  <si>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</si>
  <si>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</si>
  <si>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</si>
  <si>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</si>
  <si>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</si>
  <si>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</si>
  <si>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</si>
  <si>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</si>
  <si>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</si>
  <si>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</si>
  <si>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</si>
  <si>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</si>
  <si>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</si>
  <si>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</si>
  <si>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</si>
  <si>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</si>
  <si>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Percentage</t>
  </si>
  <si>
    <t>Grade</t>
  </si>
  <si>
    <t>Scores</t>
  </si>
  <si>
    <t>Result</t>
  </si>
  <si>
    <t>Percentage&gt;=95</t>
  </si>
  <si>
    <t>Percentage&gt;=90</t>
  </si>
  <si>
    <t>Percentage&gt;=80</t>
  </si>
  <si>
    <t>Percentage&gt;=70</t>
  </si>
  <si>
    <t>Percentage&gt;=65</t>
  </si>
  <si>
    <t>A+</t>
  </si>
  <si>
    <t xml:space="preserve">A </t>
  </si>
  <si>
    <t>B</t>
  </si>
  <si>
    <t>C</t>
  </si>
  <si>
    <t>D</t>
  </si>
  <si>
    <t>E</t>
  </si>
  <si>
    <t>Below 65</t>
  </si>
  <si>
    <t>Discount</t>
  </si>
  <si>
    <t>Amount &lt; 10000</t>
  </si>
  <si>
    <t>10000 – 30000</t>
  </si>
  <si>
    <t>&gt; 30000</t>
  </si>
  <si>
    <t>1.Compute discounts for sales based on price thresholds.</t>
  </si>
  <si>
    <t>Discount Value</t>
  </si>
  <si>
    <t>Final Amount</t>
  </si>
  <si>
    <t>Above 80</t>
  </si>
  <si>
    <t>Check if product eligible for discount</t>
  </si>
  <si>
    <t>2.Count the number of students who scored above 50 in Math.</t>
  </si>
  <si>
    <t>2. Sum total sales for a specific region and product.</t>
  </si>
  <si>
    <t>3. Calculate the average score for students who scored above 60.</t>
  </si>
  <si>
    <t>4. Fetch student names based on ID from a separate dataset.</t>
  </si>
  <si>
    <t>3. Retrieve product prices based on product codes.</t>
  </si>
  <si>
    <t>Product Price</t>
  </si>
  <si>
    <t>5. Find sales values for a specific salesperson in a specific month.</t>
  </si>
  <si>
    <t>SalesPerson</t>
  </si>
  <si>
    <t>April</t>
  </si>
  <si>
    <t>Sales</t>
  </si>
  <si>
    <t>Month</t>
  </si>
  <si>
    <t>1.Look up employee details dynamically without column restrictions.</t>
  </si>
  <si>
    <t>5. Extract the first name from full names using LEFT and FIND.</t>
  </si>
  <si>
    <t>2.Convert names to uppercase/lowercase using UPPER(), LOWER().</t>
  </si>
  <si>
    <t>Upper</t>
  </si>
  <si>
    <t>Lower</t>
  </si>
  <si>
    <t>6. Search for salesperson performance based on flexible search criteria.</t>
  </si>
  <si>
    <t>3 . Find employee salaries without worrying about sorted data.</t>
  </si>
  <si>
    <t>7. Find the position of a product in a sales list.</t>
  </si>
  <si>
    <t>Position</t>
  </si>
  <si>
    <t>4.  Dynamically reference a cell range using INDIRECT.</t>
  </si>
  <si>
    <t>Cell</t>
  </si>
  <si>
    <t>B3</t>
  </si>
  <si>
    <t>8. Create dynamic ranges for sales trends.</t>
  </si>
  <si>
    <t>6. Calculate age from date of birth.</t>
  </si>
  <si>
    <t>9. Find the difference in days between two dates.</t>
  </si>
  <si>
    <t>5. Use ROUND(), CEILING(), and FLOOR() for financial calculations.</t>
  </si>
  <si>
    <t>ROUND</t>
  </si>
  <si>
    <t>CEILING</t>
  </si>
  <si>
    <t>FLOOR</t>
  </si>
  <si>
    <t>Performing</t>
  </si>
  <si>
    <t>1.Classify students' grades based on their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</si>
</sst>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
      <sz val="11"/>
      <color theme="1"/>
      <name val="Calibri"/>
      <family val="2"/>
      <scheme val="minor"/>
    </font>
    <font>
      <sz val="11"/>
      <color theme="1"/>
      <name val="Calibri"/>
      <family val="2"/>
    </font>
    <font>
      <b/>
      <sz val="11"/>
      <color theme="0"/>
      <name val="Calibri"/>
      <family val="2"/>
    </font>
    <font>
      <b/>
      <sz val="11"/>
      <color theme="1"/>
      <name val="Calibri"/>
      <family val="2"/>
    </font>
    <font>
      <b/>
      <sz val="11"/>
      <color theme="2"/>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rgb="FF1F497D"/>
        <bgColor rgb="FF1F497D"/>
      </patternFill>
    </fill>
    <fill>
      <patternFill patternType="solid">
        <fgColor rgb="FFFFFF00"/>
        <bgColor rgb="FFFFFF00"/>
      </patternFill>
    </fill>
    <fill>
      <patternFill patternType="solid">
        <fgColor rgb="FFFFFF00"/>
        <bgColor indexed="64"/>
      </patternFill>
    </fill>
    <fill>
      <patternFill patternType="solid">
        <fgColor theme="7" tint="-0.249977111117893"/>
        <bgColor indexed="64"/>
      </patternFill>
    </fill>
    <fill>
      <patternFill patternType="solid">
        <fgColor rgb="FFFCFDF1"/>
        <bgColor indexed="64"/>
      </patternFill>
    </fill>
    <fill>
      <patternFill patternType="solid">
        <fgColor rgb="FFFEFEFC"/>
        <bgColor indexed="64"/>
      </patternFill>
    </fill>
    <fill>
      <patternFill patternType="solid">
        <fgColor rgb="FF7030A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theme="1"/>
      </top>
      <bottom style="thin">
        <color rgb="FF000000"/>
      </bottom>
      <diagonal/>
    </border>
    <border>
      <left style="thin">
        <color rgb="FF000000"/>
      </left>
      <right/>
      <top style="thin">
        <color rgb="FF000000"/>
      </top>
      <bottom/>
      <diagonal/>
    </border>
    <border>
      <left style="thin">
        <color theme="4" tint="0.39997558519241921"/>
      </left>
      <right/>
      <top style="thin">
        <color theme="4" tint="0.39997558519241921"/>
      </top>
      <bottom style="thin">
        <color theme="4" tint="0.39997558519241921"/>
      </bottom>
      <diagonal/>
    </border>
    <border>
      <left/>
      <right/>
      <top style="thin">
        <color theme="1"/>
      </top>
      <bottom style="thin">
        <color theme="1"/>
      </bottom>
      <diagonal/>
    </border>
    <border>
      <left/>
      <right style="thin">
        <color rgb="FF000000"/>
      </right>
      <top style="thin">
        <color rgb="FF000000"/>
      </top>
      <bottom style="thin">
        <color rgb="FF000000"/>
      </bottom>
      <diagonal/>
    </border>
    <border>
      <left style="thin">
        <color theme="4" tint="0.39997558519241921"/>
      </left>
      <right/>
      <top style="thin">
        <color theme="4" tint="0.39997558519241921"/>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3">
    <xf numFmtId="0" fontId="0" fillId="0" borderId="0"/>
    <xf numFmtId="9" fontId="12" fillId="0" borderId="0" applyFont="0" applyFill="0" applyBorder="0" applyAlignment="0" applyProtection="0"/>
    <xf numFmtId="0" fontId="3" fillId="0" borderId="0"/>
  </cellStyleXfs>
  <cellXfs count="55">
    <xf numFmtId="0" fontId="0" fillId="0" borderId="0" xfId="0"/>
    <xf numFmtId="0" fontId="4" fillId="2" borderId="1" xfId="0" applyFont="1" applyFill="1" applyBorder="1" applyAlignment="1">
      <alignment horizontal="center" vertical="center"/>
    </xf>
    <xf numFmtId="0" fontId="5" fillId="0" borderId="0" xfId="0" applyFont="1" applyAlignment="1">
      <alignment vertical="center"/>
    </xf>
    <xf numFmtId="0" fontId="6"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7" fillId="2" borderId="1" xfId="0" applyFont="1" applyFill="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3" fillId="0" borderId="1" xfId="0" applyFont="1" applyBorder="1" applyAlignment="1">
      <alignment vertical="center"/>
    </xf>
    <xf numFmtId="0" fontId="14" fillId="3" borderId="1" xfId="0" applyFont="1" applyFill="1" applyBorder="1"/>
    <xf numFmtId="0" fontId="14" fillId="3" borderId="1" xfId="0" applyFont="1" applyFill="1" applyBorder="1" applyAlignment="1">
      <alignment horizontal="center"/>
    </xf>
    <xf numFmtId="0" fontId="13" fillId="0" borderId="1" xfId="0" applyFont="1" applyBorder="1" applyAlignment="1">
      <alignment horizontal="center"/>
    </xf>
    <xf numFmtId="0" fontId="15" fillId="4" borderId="1" xfId="0" applyFont="1" applyFill="1" applyBorder="1"/>
    <xf numFmtId="0" fontId="3" fillId="0" borderId="0" xfId="0" applyFont="1" applyAlignment="1">
      <alignment vertical="center" wrapText="1"/>
    </xf>
    <xf numFmtId="0" fontId="14" fillId="3" borderId="2" xfId="0" applyFont="1" applyFill="1" applyBorder="1" applyAlignment="1">
      <alignment horizontal="center"/>
    </xf>
    <xf numFmtId="164" fontId="6" fillId="0" borderId="3" xfId="0" applyNumberFormat="1" applyFont="1" applyBorder="1" applyAlignment="1">
      <alignment horizontal="center" vertical="center"/>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xf>
    <xf numFmtId="0" fontId="2" fillId="0" borderId="1" xfId="0" applyFont="1" applyBorder="1" applyAlignment="1">
      <alignment vertical="center"/>
    </xf>
    <xf numFmtId="0" fontId="16" fillId="6" borderId="0" xfId="0" applyFont="1" applyFill="1" applyAlignment="1">
      <alignment horizontal="left" vertical="top"/>
    </xf>
    <xf numFmtId="0" fontId="5" fillId="0" borderId="0" xfId="0" applyFont="1" applyAlignment="1">
      <alignment horizontal="left" vertical="center"/>
    </xf>
    <xf numFmtId="0" fontId="16" fillId="6" borderId="6" xfId="0" applyFont="1" applyFill="1" applyBorder="1" applyAlignment="1">
      <alignment horizontal="left" vertical="top"/>
    </xf>
    <xf numFmtId="0" fontId="13" fillId="0" borderId="8" xfId="0" applyFont="1" applyBorder="1" applyAlignment="1">
      <alignment horizontal="center"/>
    </xf>
    <xf numFmtId="0" fontId="15" fillId="4" borderId="3" xfId="0" applyFont="1" applyFill="1" applyBorder="1"/>
    <xf numFmtId="0" fontId="14" fillId="3" borderId="10" xfId="0" applyFont="1" applyFill="1" applyBorder="1" applyAlignment="1">
      <alignment horizontal="center"/>
    </xf>
    <xf numFmtId="0" fontId="14" fillId="3" borderId="11" xfId="0" applyFont="1" applyFill="1" applyBorder="1"/>
    <xf numFmtId="0" fontId="13" fillId="0" borderId="12" xfId="0" applyFont="1" applyBorder="1" applyAlignment="1">
      <alignment horizontal="center"/>
    </xf>
    <xf numFmtId="0" fontId="15" fillId="4" borderId="5" xfId="0" applyFont="1" applyFill="1" applyBorder="1"/>
    <xf numFmtId="0" fontId="14" fillId="3" borderId="4" xfId="0" applyFont="1" applyFill="1" applyBorder="1" applyAlignment="1">
      <alignment horizontal="center"/>
    </xf>
    <xf numFmtId="0" fontId="16" fillId="6" borderId="0" xfId="0" applyFont="1" applyFill="1" applyAlignment="1">
      <alignment horizontal="left" vertical="top"/>
    </xf>
    <xf numFmtId="9" fontId="4" fillId="5" borderId="0" xfId="0" applyNumberFormat="1" applyFont="1" applyFill="1" applyAlignment="1">
      <alignment horizontal="center" vertical="center" wrapText="1"/>
    </xf>
    <xf numFmtId="0" fontId="1" fillId="0" borderId="1" xfId="0" applyFont="1" applyBorder="1" applyAlignment="1">
      <alignment vertical="center"/>
    </xf>
    <xf numFmtId="0" fontId="5" fillId="7" borderId="0" xfId="0" applyFont="1" applyFill="1" applyAlignment="1">
      <alignment horizontal="center" vertical="center"/>
    </xf>
    <xf numFmtId="1" fontId="5" fillId="7" borderId="0" xfId="0" applyNumberFormat="1" applyFont="1" applyFill="1" applyAlignment="1">
      <alignment horizontal="center" vertical="center"/>
    </xf>
    <xf numFmtId="9" fontId="5" fillId="7" borderId="0" xfId="1" applyFont="1" applyFill="1" applyAlignment="1">
      <alignment horizontal="center" vertical="center"/>
    </xf>
    <xf numFmtId="0" fontId="16" fillId="6" borderId="9" xfId="0" applyFont="1" applyFill="1" applyBorder="1" applyAlignment="1">
      <alignment horizontal="center" vertical="top"/>
    </xf>
    <xf numFmtId="0" fontId="16" fillId="6" borderId="15" xfId="0" applyFont="1" applyFill="1" applyBorder="1" applyAlignment="1">
      <alignment horizontal="center" vertical="top"/>
    </xf>
    <xf numFmtId="0" fontId="16" fillId="6" borderId="14" xfId="0" applyFont="1" applyFill="1" applyBorder="1" applyAlignment="1">
      <alignment horizontal="left" vertical="top"/>
    </xf>
    <xf numFmtId="0" fontId="16" fillId="6" borderId="13" xfId="0" applyFont="1" applyFill="1" applyBorder="1" applyAlignment="1">
      <alignment horizontal="left" vertical="top"/>
    </xf>
    <xf numFmtId="0" fontId="1" fillId="8" borderId="7" xfId="0" applyFont="1" applyFill="1" applyBorder="1" applyAlignment="1">
      <alignment horizontal="center" vertical="center"/>
    </xf>
    <xf numFmtId="0" fontId="4" fillId="5" borderId="0" xfId="0" applyFont="1" applyFill="1" applyAlignment="1">
      <alignment horizontal="center" vertical="center"/>
    </xf>
    <xf numFmtId="0" fontId="4" fillId="5" borderId="7" xfId="0" applyFont="1" applyFill="1" applyBorder="1" applyAlignment="1">
      <alignment horizontal="center" vertical="center"/>
    </xf>
    <xf numFmtId="0" fontId="16" fillId="9" borderId="0" xfId="0" applyFont="1" applyFill="1" applyAlignment="1">
      <alignment horizontal="center" vertical="center"/>
    </xf>
    <xf numFmtId="0" fontId="15" fillId="4" borderId="1" xfId="0" applyFont="1" applyFill="1" applyBorder="1" applyAlignment="1">
      <alignment horizontal="center"/>
    </xf>
    <xf numFmtId="0" fontId="1" fillId="0" borderId="0" xfId="0" applyFont="1" applyAlignment="1">
      <alignment horizontal="center" vertical="center"/>
    </xf>
    <xf numFmtId="0" fontId="16" fillId="9" borderId="0" xfId="0" applyFont="1" applyFill="1" applyAlignment="1">
      <alignment horizontal="left" vertical="center"/>
    </xf>
    <xf numFmtId="0" fontId="16" fillId="6" borderId="0" xfId="0" applyFont="1" applyFill="1" applyAlignment="1">
      <alignment horizontal="left" vertical="center"/>
    </xf>
    <xf numFmtId="0" fontId="16" fillId="6" borderId="9" xfId="0" applyFont="1" applyFill="1" applyBorder="1" applyAlignment="1">
      <alignment horizontal="left" vertical="top"/>
    </xf>
    <xf numFmtId="0" fontId="16" fillId="6" borderId="15" xfId="0" applyFont="1" applyFill="1" applyBorder="1" applyAlignment="1">
      <alignment horizontal="left" vertical="top"/>
    </xf>
    <xf numFmtId="0" fontId="16" fillId="6" borderId="6" xfId="0" applyFont="1" applyFill="1" applyBorder="1" applyAlignment="1">
      <alignment horizontal="left" vertical="top"/>
    </xf>
    <xf numFmtId="0" fontId="16" fillId="6" borderId="14" xfId="0" applyFont="1" applyFill="1" applyBorder="1" applyAlignment="1">
      <alignment horizontal="left" vertical="top"/>
    </xf>
    <xf numFmtId="0" fontId="1" fillId="0" borderId="0" xfId="0" applyFont="1" applyAlignment="1">
      <alignment horizontal="center"/>
    </xf>
    <xf numFmtId="0" fontId="7" fillId="2" borderId="0" xfId="0" applyFont="1" applyFill="1" applyAlignment="1">
      <alignment horizontal="center" vertical="center"/>
    </xf>
  </cellXfs>
  <cellStyles count="3">
    <cellStyle name="Normal" xfId="0" builtinId="0"/>
    <cellStyle name="Normal 2" xfId="2" xr:uid="{E82B956A-982E-4199-8FD9-DF56B1EEB906}"/>
    <cellStyle name="Percent" xfId="1" builtinId="5"/>
  </cellStyles>
  <dxfs count="56">
    <dxf>
      <font>
        <b/>
        <i val="0"/>
        <strike val="0"/>
        <condense val="0"/>
        <extend val="0"/>
        <outline val="0"/>
        <shadow val="0"/>
        <u val="none"/>
        <vertAlign val="baseline"/>
        <sz val="11"/>
        <color theme="1"/>
        <name val="Calibri"/>
        <family val="2"/>
        <scheme val="none"/>
      </font>
      <fill>
        <patternFill patternType="solid">
          <fgColor rgb="FFFFFF00"/>
          <bgColor rgb="FFFFFF00"/>
        </patternFill>
      </fill>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none"/>
      </font>
      <fill>
        <patternFill patternType="solid">
          <fgColor rgb="FFFFF2CC"/>
          <bgColor rgb="FFFFF2CC"/>
        </patternFill>
      </fill>
      <alignment horizontal="center" vertical="center" textRotation="0" wrapText="0" indent="0" justifyLastLine="0" shrinkToFit="0" readingOrder="0"/>
      <border diagonalUp="0" diagonalDown="0" outline="0">
        <left style="thin">
          <color rgb="FF000000"/>
        </left>
        <right style="thin">
          <color rgb="FF000000"/>
        </right>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FFF2CC"/>
          <bgColor rgb="FFFFF2CC"/>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rgb="FF000000"/>
        </bottom>
      </border>
    </dxf>
    <dxf>
      <border outline="0">
        <top style="thin">
          <color theme="1"/>
        </top>
      </border>
    </dxf>
    <dxf>
      <font>
        <b/>
        <i val="0"/>
        <strike val="0"/>
        <condense val="0"/>
        <extend val="0"/>
        <outline val="0"/>
        <shadow val="0"/>
        <u val="none"/>
        <vertAlign val="baseline"/>
        <sz val="11"/>
        <color theme="0"/>
        <name val="Calibri"/>
        <family val="2"/>
        <scheme val="none"/>
      </font>
      <fill>
        <patternFill patternType="solid">
          <fgColor rgb="FF1F497D"/>
          <bgColor rgb="FF1F497D"/>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border outline="0">
        <bottom style="thin">
          <color rgb="FF000000"/>
        </bottom>
      </border>
    </dxf>
    <dxf>
      <border outline="0">
        <left style="thin">
          <color rgb="FF000000"/>
        </left>
        <top style="thin">
          <color rgb="FF000000"/>
        </top>
      </border>
    </dxf>
    <dxf>
      <fill>
        <patternFill patternType="solid">
          <fgColor indexed="64"/>
          <bgColor rgb="FFFCFDF1"/>
        </patternFill>
      </fill>
    </dxf>
    <dxf>
      <font>
        <b/>
        <i val="0"/>
        <strike val="0"/>
        <condense val="0"/>
        <extend val="0"/>
        <outline val="0"/>
        <shadow val="0"/>
        <u val="none"/>
        <vertAlign val="baseline"/>
        <sz val="11"/>
        <color rgb="FF000000"/>
        <name val="Calibri"/>
        <family val="2"/>
        <scheme val="none"/>
      </font>
      <fill>
        <patternFill patternType="solid">
          <fgColor rgb="FFFFF2CC"/>
          <bgColor rgb="FFFFF2CC"/>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theme="0"/>
        <name val="Calibri"/>
        <family val="2"/>
        <scheme val="none"/>
      </font>
      <fill>
        <patternFill patternType="solid">
          <fgColor rgb="FF1F497D"/>
          <bgColor rgb="FF1F497D"/>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rgb="FF000000"/>
        </bottom>
      </border>
    </dxf>
    <dxf>
      <border outline="0">
        <top style="thin">
          <color theme="1"/>
        </top>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3" formatCode="0%"/>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rgb="FFFCFDF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border outline="0">
        <bottom style="thin">
          <color rgb="FF000000"/>
        </bottom>
      </border>
    </dxf>
    <dxf>
      <border outline="0">
        <left style="thin">
          <color rgb="FF000000"/>
        </left>
        <top style="thin">
          <color rgb="FF000000"/>
        </top>
      </border>
    </dxf>
    <dxf>
      <font>
        <b val="0"/>
        <i val="0"/>
        <strike val="0"/>
        <condense val="0"/>
        <extend val="0"/>
        <outline val="0"/>
        <shadow val="0"/>
        <u val="none"/>
        <vertAlign val="baseline"/>
        <sz val="11"/>
        <color theme="1"/>
        <name val="Calibri"/>
        <family val="2"/>
        <scheme val="minor"/>
      </font>
      <fill>
        <patternFill patternType="solid">
          <fgColor indexed="64"/>
          <bgColor rgb="FFFCFDF1"/>
        </patternFill>
      </fill>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FFF2CC"/>
          <bgColor rgb="FFFFF2CC"/>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theme="1"/>
        <name val="Calibri"/>
        <family val="2"/>
        <scheme val="minor"/>
      </font>
      <numFmt numFmtId="13" formatCode="0%"/>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i val="0"/>
        <strike val="0"/>
        <condense val="0"/>
        <extend val="0"/>
        <outline val="0"/>
        <shadow val="0"/>
        <u val="none"/>
        <vertAlign val="baseline"/>
        <sz val="11"/>
        <color theme="2"/>
        <name val="Calibri"/>
        <family val="2"/>
        <scheme val="minor"/>
      </font>
      <fill>
        <patternFill patternType="solid">
          <fgColor indexed="64"/>
          <bgColor theme="7" tint="-0.249977111117893"/>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none"/>
      </font>
      <fill>
        <patternFill patternType="solid">
          <fgColor rgb="FF1F497D"/>
          <bgColor rgb="FF1F497D"/>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border outline="0">
        <top style="thin">
          <color rgb="FF000000"/>
        </top>
      </border>
    </dxf>
    <dxf>
      <border outline="0">
        <bottom style="thin">
          <color rgb="FF000000"/>
        </bottom>
      </border>
    </dxf>
    <dxf>
      <font>
        <b/>
        <i val="0"/>
        <strike val="0"/>
        <condense val="0"/>
        <extend val="0"/>
        <outline val="0"/>
        <shadow val="0"/>
        <u val="none"/>
        <vertAlign val="baseline"/>
        <sz val="11"/>
        <color theme="0"/>
        <name val="Calibri"/>
        <family val="2"/>
        <scheme val="none"/>
      </font>
      <fill>
        <patternFill patternType="solid">
          <fgColor rgb="FF1F497D"/>
          <bgColor rgb="FF1F497D"/>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EFEFC"/>
      <color rgb="FFFCFDF1"/>
      <color rgb="FFFBFCE8"/>
      <color rgb="FFFFFFD5"/>
      <color rgb="FFFFFF99"/>
      <color rgb="FFFFCC99"/>
      <color rgb="FF0216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F2ACE2-9155-4A90-9D0D-C72B025ECF92}" name="Table4" displayName="Table4" ref="G1:J21" headerRowDxfId="39" dataDxfId="38" headerRowBorderDxfId="36" tableBorderDxfId="37">
  <tableColumns count="4">
    <tableColumn id="1" xr3:uid="{F6E35E22-AD94-4AD7-9B8B-F9313F963545}" name="Total" totalsRowLabel="Total" dataDxfId="35">
      <calculatedColumnFormula>SUM(C2:E2)</calculatedColumnFormula>
    </tableColumn>
    <tableColumn id="2" xr3:uid="{2A06B48C-AABE-4C32-832E-9D99585A9BB7}" name="Percentage" dataDxfId="34">
      <calculatedColumnFormula>(G2*100)/300</calculatedColumnFormula>
    </tableColumn>
    <tableColumn id="3" xr3:uid="{2B1FE36A-F2AF-4DAF-A58B-FBF8690250DB}" name="Grade" dataDxfId="33">
      <calculatedColumnFormula>IF(H2&gt;=95,"A+",IF(H2&gt;=90,"A",IF(H2&gt;=80,"B",IF(H2&gt;=70,"C",IF(H2&gt;=65,"D","E")))))</calculatedColumnFormula>
    </tableColumn>
    <tableColumn id="4" xr3:uid="{8DAAF12F-7C0C-4709-B41E-B8160364AAB4}" name="Above 80" totalsRowFunction="count" dataDxfId="32">
      <calculatedColumnFormula>IF(AND(C2&gt;=80,D2&gt;=80),"Good","Bad")</calculatedColumnFormula>
    </tableColumn>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88938D-F1E3-4212-BFC3-6AE9980DD4AA}" name="Table3" displayName="Table3" ref="M10:Q11" headerRowCount="0" totalsRowShown="0" headerRowDxfId="49">
  <tableColumns count="5">
    <tableColumn id="1" xr3:uid="{95856F5E-5576-4817-8A98-3F9F6C8F3E67}" name="Column1" headerRowDxfId="48">
      <calculatedColumnFormula>COUNTIFS(C1:C20,"&gt;=50")</calculatedColumnFormula>
    </tableColumn>
    <tableColumn id="2" xr3:uid="{9896471E-54F9-4824-9889-F3EED0E78CD5}" name="Column2" headerRowDxfId="47"/>
    <tableColumn id="3" xr3:uid="{2997C7C7-2315-4BBB-8BB3-CECB02CF6048}" name="Column3" headerRowDxfId="46"/>
    <tableColumn id="4" xr3:uid="{C2F5202D-E4BB-4414-9E00-7BDF4357C106}" name="Column4" headerRowDxfId="45"/>
    <tableColumn id="5" xr3:uid="{ECBA9E7C-1CBB-4FD9-97A6-C5966C34511F}" name="Column5" headerRow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902375-7344-4168-BDDB-8949C0C3A21A}" name="Table7" displayName="Table7" ref="M17:N22" totalsRowShown="0" headerRowBorderDxfId="43" tableBorderDxfId="42">
  <tableColumns count="2">
    <tableColumn id="1" xr3:uid="{6F23F9AE-1027-4EAC-9295-B7E094DE3209}" name="Student ID" dataDxfId="1"/>
    <tableColumn id="2" xr3:uid="{9FC955C5-AA76-4DCE-915E-0B202E6204D5}" name="Name" dataDxfId="0">
      <calculatedColumnFormula>VLOOKUP(A2,$A$2:$B$21,2,FALSE)</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ED35E27-4D42-4F7D-AA31-A89F6922EB96}" name="Table12" displayName="Table12" ref="K1:K21" headerRowCount="0" totalsRowShown="0" headerRowDxfId="3" dataDxfId="4" headerRowBorderDxfId="6">
  <tableColumns count="1">
    <tableColumn id="1" xr3:uid="{616F97D7-FE90-42A5-981B-934C3C3CC164}" name="Column1" headerRowDxfId="2" dataDxfId="5"/>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FDF6E-2E41-44F3-B7D1-5A23BE31B112}" name="Table1" displayName="Table1" ref="L2:M5" totalsRowShown="0" headerRowDxfId="55" headerRowBorderDxfId="54" tableBorderDxfId="53">
  <tableColumns count="2">
    <tableColumn id="1" xr3:uid="{B1D28821-A1B5-45FC-9CC3-E43DF7C1D5D4}" name="Amount" dataDxfId="41"/>
    <tableColumn id="2" xr3:uid="{8CF029A7-1557-4BBB-A669-BF8FEBF41520}" name="Discount" dataDxfId="40"/>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47E9F1-9FAA-46EE-9DE6-26270BE6A73E}" name="Table6" displayName="Table6" ref="L8:N9" totalsRowShown="0" headerRowDxfId="52" headerRowBorderDxfId="51">
  <tableColumns count="3">
    <tableColumn id="1" xr3:uid="{C7396D53-975F-4A3F-82A7-3BADFEF144F6}" name="Product" dataDxfId="50"/>
    <tableColumn id="2" xr3:uid="{D58DAB4A-67BC-4435-8078-804311F7E181}" name="Region" dataDxfId="31"/>
    <tableColumn id="3" xr3:uid="{1D02264D-A527-471F-8803-7191D2EA22AF}" name="Total" dataDxfId="30">
      <calculatedColumnFormula>SUMIFS(E2:E20,B2:B20,"Laptop",C2:C20,"East")</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384AC0-7D07-46D5-BD27-2B80435EBEA6}" name="Table2" displayName="Table2" ref="G1:J21" totalsRowShown="0" headerRowDxfId="20" dataDxfId="19" headerRowBorderDxfId="17" tableBorderDxfId="18">
  <autoFilter ref="G1:J21" xr:uid="{1E384AC0-7D07-46D5-BD27-2B80435EBEA6}">
    <filterColumn colId="0" hiddenButton="1"/>
    <filterColumn colId="1" hiddenButton="1"/>
    <filterColumn colId="2" hiddenButton="1"/>
    <filterColumn colId="3" hiddenButton="1"/>
  </autoFilter>
  <tableColumns count="4">
    <tableColumn id="1" xr3:uid="{0F6B5F18-388A-434A-BB4A-62C576A5C501}" name="Discount" dataDxfId="16" dataCellStyle="Percent">
      <calculatedColumnFormula>IF(E2&lt;10000,5%,IF(E2&lt;=30000,10%,15%))</calculatedColumnFormula>
    </tableColumn>
    <tableColumn id="2" xr3:uid="{BD231F29-6EB4-4F6A-81E4-F9143C05E2EC}" name="Discount Value" dataDxfId="15">
      <calculatedColumnFormula>E2*G2</calculatedColumnFormula>
    </tableColumn>
    <tableColumn id="3" xr3:uid="{FEC854AE-EE57-4589-A37D-C1B09E77E97C}" name="Final Amount" dataDxfId="14">
      <calculatedColumnFormula>E2-H2</calculatedColumnFormula>
    </tableColumn>
    <tableColumn id="4" xr3:uid="{C5C04AEF-4E02-4DDE-8D9D-33D8BBBC680F}" name="Check if product eligible for discount" dataDxfId="13">
      <calculatedColumnFormula>IF(OR(B2="Keyboard",B2="Laptop"),"Eligible","Not Eligible")</calculatedColumnFormula>
    </tableColumn>
  </tableColumns>
  <tableStyleInfo name="TableStyleLight15"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2B1864-9807-4CCC-8B01-6D06730C4326}" name="Table5" displayName="Table5" ref="I2:I3" headerRowCount="0" totalsRowShown="0" headerRowDxfId="27" dataDxfId="28">
  <tableColumns count="1">
    <tableColumn id="1" xr3:uid="{68BD2A21-D9D9-4A80-A9C3-4E3DBE65C6F6}" name="Column1" headerRowDxfId="26" dataDxfId="2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2BCFCB-6363-4ED3-BBDC-1B9CD35FCB72}" name="Table8" displayName="Table8" ref="I15:J16" totalsRowShown="0" headerRowDxfId="21" headerRowBorderDxfId="24" tableBorderDxfId="25">
  <autoFilter ref="I15:J16" xr:uid="{892BCFCB-6363-4ED3-BBDC-1B9CD35FCB72}">
    <filterColumn colId="0" hiddenButton="1"/>
    <filterColumn colId="1" hiddenButton="1"/>
  </autoFilter>
  <tableColumns count="2">
    <tableColumn id="1" xr3:uid="{2301EEDE-A76D-4ED1-B8EA-A9CB5A809935}" name="Cell" dataDxfId="23"/>
    <tableColumn id="2" xr3:uid="{FA446AD7-9007-41DD-A7AA-E1DF2D2170BF}" name="Name" dataDxfId="22">
      <calculatedColumnFormula array="1">INDIRECT(I16)</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7C6DCB-488A-414C-9288-04BEAA3ECC7C}" name="Table811" displayName="Table811" ref="I19:K20" totalsRowShown="0" headerRowDxfId="12" headerRowBorderDxfId="10" tableBorderDxfId="11">
  <autoFilter ref="I19:K20" xr:uid="{8F7C6DCB-488A-414C-9288-04BEAA3ECC7C}">
    <filterColumn colId="0" hiddenButton="1"/>
    <filterColumn colId="1" hiddenButton="1"/>
    <filterColumn colId="2" hiddenButton="1"/>
  </autoFilter>
  <tableColumns count="3">
    <tableColumn id="1" xr3:uid="{7F416910-7DB7-4877-8516-1BF842FECD05}" name="ROUND" dataDxfId="9"/>
    <tableColumn id="2" xr3:uid="{88EDF1E8-4C9E-4606-8338-0D43841252CD}" name="CEILING" dataDxfId="8"/>
    <tableColumn id="3" xr3:uid="{74DD5108-F900-46D8-B001-BCD0C54E0FE5}" name="FLOOR" dataDxfId="7"/>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zoomScale="102" workbookViewId="0">
      <selection activeCell="A26" sqref="A26"/>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10"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0"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0"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0"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0"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0"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0"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33"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33"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33"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33"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33"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33"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33"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33"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33"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33"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33"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33"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workbookViewId="0">
      <selection activeCell="L24" sqref="L24"/>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7" width="8.6640625" customWidth="1"/>
    <col min="8" max="8" width="12.33203125" customWidth="1"/>
    <col min="9" max="9" width="8.6640625" customWidth="1"/>
    <col min="10" max="10" width="10.77734375" customWidth="1"/>
    <col min="11" max="11" width="15.21875" customWidth="1"/>
    <col min="12" max="12" width="10.109375" customWidth="1"/>
    <col min="13" max="13" width="24.77734375" customWidth="1"/>
    <col min="14" max="17" width="10.44140625" customWidth="1"/>
    <col min="18" max="27" width="8.6640625" customWidth="1"/>
  </cols>
  <sheetData>
    <row r="1" spans="1:27" ht="14.4">
      <c r="A1" s="6" t="s">
        <v>41</v>
      </c>
      <c r="B1" s="6" t="s">
        <v>42</v>
      </c>
      <c r="C1" s="6" t="s">
        <v>43</v>
      </c>
      <c r="D1" s="6" t="s">
        <v>44</v>
      </c>
      <c r="E1" s="6" t="s">
        <v>45</v>
      </c>
      <c r="F1" s="18" t="s">
        <v>46</v>
      </c>
      <c r="G1" s="19" t="s">
        <v>130</v>
      </c>
      <c r="H1" s="19" t="s">
        <v>131</v>
      </c>
      <c r="I1" s="19" t="s">
        <v>132</v>
      </c>
      <c r="J1" s="19" t="s">
        <v>154</v>
      </c>
      <c r="K1" s="54" t="s">
        <v>186</v>
      </c>
      <c r="L1" s="7"/>
      <c r="M1" s="31" t="s">
        <v>187</v>
      </c>
      <c r="N1" s="31"/>
      <c r="O1" s="31"/>
      <c r="P1" s="31"/>
      <c r="Q1" s="31"/>
      <c r="R1" s="7"/>
      <c r="S1" s="7"/>
      <c r="T1" s="7"/>
      <c r="U1" s="7"/>
      <c r="V1" s="7"/>
      <c r="W1" s="7"/>
      <c r="X1" s="7"/>
      <c r="Y1" s="7"/>
      <c r="Z1" s="7"/>
      <c r="AA1" s="7"/>
    </row>
    <row r="2" spans="1:27" ht="14.4">
      <c r="A2" s="8">
        <v>1001</v>
      </c>
      <c r="B2" s="8" t="s">
        <v>47</v>
      </c>
      <c r="C2" s="8">
        <v>61</v>
      </c>
      <c r="D2" s="8">
        <v>48</v>
      </c>
      <c r="E2" s="8">
        <v>76</v>
      </c>
      <c r="F2" s="17">
        <v>43101</v>
      </c>
      <c r="G2" s="34">
        <f t="shared" ref="G2:G21" si="0">SUM(C2:E2)</f>
        <v>185</v>
      </c>
      <c r="H2" s="35">
        <f>(G2*100)/300</f>
        <v>61.666666666666664</v>
      </c>
      <c r="I2" s="34" t="str">
        <f t="shared" ref="I2:I21" si="1">IF(H2&gt;=95,"A+",IF(H2&gt;=90,"A",IF(H2&gt;=80,"B",IF(H2&gt;=70,"C",IF(H2&gt;=65,"D","E")))))</f>
        <v>E</v>
      </c>
      <c r="J2" s="34" t="str">
        <f t="shared" ref="J2:J21" si="2">IF(AND(C2&gt;=80,D2&gt;=80),"Good","Bad")</f>
        <v>Bad</v>
      </c>
      <c r="K2" s="34" t="str">
        <f>IF(H2&gt;=75,"top-performing","Last-Performing")</f>
        <v>Last-Performing</v>
      </c>
      <c r="L2" s="7"/>
      <c r="M2" s="12" t="s">
        <v>133</v>
      </c>
      <c r="N2" s="11" t="s">
        <v>134</v>
      </c>
      <c r="O2" s="7"/>
      <c r="P2" s="7"/>
      <c r="Q2" s="7"/>
      <c r="R2" s="7"/>
      <c r="S2" s="7"/>
      <c r="T2" s="7"/>
      <c r="U2" s="7"/>
      <c r="V2" s="7"/>
      <c r="W2" s="7"/>
      <c r="X2" s="7"/>
      <c r="Y2" s="7"/>
      <c r="Z2" s="7"/>
      <c r="AA2" s="7"/>
    </row>
    <row r="3" spans="1:27" ht="14.4">
      <c r="A3" s="8">
        <v>1002</v>
      </c>
      <c r="B3" s="8" t="s">
        <v>48</v>
      </c>
      <c r="C3" s="8">
        <v>78</v>
      </c>
      <c r="D3" s="8">
        <v>76</v>
      </c>
      <c r="E3" s="8">
        <v>70</v>
      </c>
      <c r="F3" s="17">
        <v>43281</v>
      </c>
      <c r="G3" s="34">
        <f t="shared" si="0"/>
        <v>224</v>
      </c>
      <c r="H3" s="35">
        <f t="shared" ref="H3:H21" si="3">(G3*100)/300</f>
        <v>74.666666666666671</v>
      </c>
      <c r="I3" s="34" t="str">
        <f t="shared" si="1"/>
        <v>C</v>
      </c>
      <c r="J3" s="34" t="str">
        <f t="shared" si="2"/>
        <v>Bad</v>
      </c>
      <c r="K3" s="34" t="str">
        <f>IF(H3&gt;=75,"top-performing","Last-Performing")</f>
        <v>Last-Performing</v>
      </c>
      <c r="L3" s="7"/>
      <c r="M3" s="13" t="s">
        <v>135</v>
      </c>
      <c r="N3" s="14" t="s">
        <v>140</v>
      </c>
      <c r="O3" s="7"/>
      <c r="P3" s="7"/>
      <c r="Q3" s="7"/>
      <c r="R3" s="7"/>
      <c r="S3" s="7"/>
      <c r="T3" s="7"/>
      <c r="U3" s="7"/>
      <c r="V3" s="7"/>
      <c r="W3" s="7"/>
    </row>
    <row r="4" spans="1:27" ht="14.4">
      <c r="A4" s="8">
        <v>1003</v>
      </c>
      <c r="B4" s="8" t="s">
        <v>49</v>
      </c>
      <c r="C4" s="8">
        <v>97</v>
      </c>
      <c r="D4" s="8">
        <v>60</v>
      </c>
      <c r="E4" s="8">
        <v>51</v>
      </c>
      <c r="F4" s="17">
        <v>43461</v>
      </c>
      <c r="G4" s="34">
        <f t="shared" si="0"/>
        <v>208</v>
      </c>
      <c r="H4" s="35">
        <f t="shared" si="3"/>
        <v>69.333333333333329</v>
      </c>
      <c r="I4" s="34" t="str">
        <f t="shared" si="1"/>
        <v>D</v>
      </c>
      <c r="J4" s="34" t="str">
        <f t="shared" si="2"/>
        <v>Bad</v>
      </c>
      <c r="K4" s="34" t="str">
        <f t="shared" ref="K4:K11" si="4">IF(H4&gt;=75,"top-performing","Last-Performing")</f>
        <v>Last-Performing</v>
      </c>
      <c r="L4" s="7"/>
      <c r="M4" s="13" t="s">
        <v>136</v>
      </c>
      <c r="N4" s="14" t="s">
        <v>141</v>
      </c>
      <c r="O4" s="7"/>
      <c r="P4" s="7"/>
      <c r="Q4" s="7"/>
      <c r="R4" s="7"/>
      <c r="S4" s="7"/>
      <c r="T4" s="7"/>
      <c r="U4" s="7"/>
      <c r="V4" s="7"/>
      <c r="W4" s="7"/>
    </row>
    <row r="5" spans="1:27" ht="14.4">
      <c r="A5" s="8">
        <v>1004</v>
      </c>
      <c r="B5" s="8" t="s">
        <v>50</v>
      </c>
      <c r="C5" s="8">
        <v>74</v>
      </c>
      <c r="D5" s="8">
        <v>55</v>
      </c>
      <c r="E5" s="8">
        <v>46</v>
      </c>
      <c r="F5" s="17">
        <v>43641</v>
      </c>
      <c r="G5" s="34">
        <f t="shared" si="0"/>
        <v>175</v>
      </c>
      <c r="H5" s="35">
        <f t="shared" si="3"/>
        <v>58.333333333333336</v>
      </c>
      <c r="I5" s="34" t="str">
        <f t="shared" si="1"/>
        <v>E</v>
      </c>
      <c r="J5" s="34" t="str">
        <f t="shared" si="2"/>
        <v>Bad</v>
      </c>
      <c r="K5" s="34" t="str">
        <f t="shared" si="4"/>
        <v>Last-Performing</v>
      </c>
      <c r="L5" s="7"/>
      <c r="M5" s="13" t="s">
        <v>137</v>
      </c>
      <c r="N5" s="14" t="s">
        <v>142</v>
      </c>
      <c r="O5" s="7"/>
      <c r="P5" s="7"/>
      <c r="Q5" s="7"/>
      <c r="R5" s="7"/>
      <c r="S5" s="7"/>
      <c r="T5" s="7"/>
      <c r="U5" s="7"/>
      <c r="V5" s="7"/>
      <c r="W5" s="7"/>
    </row>
    <row r="6" spans="1:27" ht="14.4">
      <c r="A6" s="8">
        <v>1005</v>
      </c>
      <c r="B6" s="8" t="s">
        <v>51</v>
      </c>
      <c r="C6" s="8">
        <v>68</v>
      </c>
      <c r="D6" s="8">
        <v>74</v>
      </c>
      <c r="E6" s="8">
        <v>84</v>
      </c>
      <c r="F6" s="17">
        <v>43821</v>
      </c>
      <c r="G6" s="34">
        <f t="shared" si="0"/>
        <v>226</v>
      </c>
      <c r="H6" s="35">
        <f t="shared" si="3"/>
        <v>75.333333333333329</v>
      </c>
      <c r="I6" s="34" t="str">
        <f t="shared" si="1"/>
        <v>C</v>
      </c>
      <c r="J6" s="34" t="str">
        <f t="shared" si="2"/>
        <v>Bad</v>
      </c>
      <c r="K6" s="34" t="str">
        <f>IF(H6&gt;=75,"top-performing","Last-Performing")</f>
        <v>top-performing</v>
      </c>
      <c r="L6" s="7"/>
      <c r="M6" s="13" t="s">
        <v>138</v>
      </c>
      <c r="N6" s="14" t="s">
        <v>143</v>
      </c>
      <c r="O6" s="7"/>
      <c r="P6" s="7"/>
      <c r="Q6" s="7"/>
      <c r="R6" s="7"/>
      <c r="S6" s="7"/>
      <c r="T6" s="7"/>
      <c r="U6" s="7"/>
      <c r="V6" s="7"/>
      <c r="W6" s="7"/>
    </row>
    <row r="7" spans="1:27" ht="14.4">
      <c r="A7" s="8">
        <v>1006</v>
      </c>
      <c r="B7" s="8" t="s">
        <v>52</v>
      </c>
      <c r="C7" s="8">
        <v>80</v>
      </c>
      <c r="D7" s="8">
        <v>70</v>
      </c>
      <c r="E7" s="8">
        <v>65</v>
      </c>
      <c r="F7" s="17">
        <v>44001</v>
      </c>
      <c r="G7" s="34">
        <f t="shared" si="0"/>
        <v>215</v>
      </c>
      <c r="H7" s="35">
        <f t="shared" si="3"/>
        <v>71.666666666666671</v>
      </c>
      <c r="I7" s="34" t="str">
        <f t="shared" si="1"/>
        <v>C</v>
      </c>
      <c r="J7" s="34" t="str">
        <f t="shared" si="2"/>
        <v>Bad</v>
      </c>
      <c r="K7" s="34" t="str">
        <f t="shared" si="4"/>
        <v>Last-Performing</v>
      </c>
      <c r="L7" s="7"/>
      <c r="M7" s="13" t="s">
        <v>139</v>
      </c>
      <c r="N7" s="14" t="s">
        <v>144</v>
      </c>
      <c r="O7" s="7"/>
      <c r="P7" s="7"/>
      <c r="Q7" s="7"/>
      <c r="R7" s="7"/>
      <c r="S7" s="7"/>
      <c r="T7" s="7"/>
      <c r="U7" s="7"/>
      <c r="V7" s="7"/>
      <c r="W7" s="7"/>
    </row>
    <row r="8" spans="1:27" ht="14.4">
      <c r="A8" s="8">
        <v>1007</v>
      </c>
      <c r="B8" s="8" t="s">
        <v>53</v>
      </c>
      <c r="C8" s="8">
        <v>75</v>
      </c>
      <c r="D8" s="8">
        <v>47</v>
      </c>
      <c r="E8" s="8">
        <v>78</v>
      </c>
      <c r="F8" s="17">
        <v>44181</v>
      </c>
      <c r="G8" s="34">
        <f t="shared" si="0"/>
        <v>200</v>
      </c>
      <c r="H8" s="35">
        <f t="shared" si="3"/>
        <v>66.666666666666671</v>
      </c>
      <c r="I8" s="34" t="str">
        <f t="shared" si="1"/>
        <v>D</v>
      </c>
      <c r="J8" s="34" t="str">
        <f t="shared" si="2"/>
        <v>Bad</v>
      </c>
      <c r="K8" s="34" t="str">
        <f t="shared" si="4"/>
        <v>Last-Performing</v>
      </c>
      <c r="L8" s="7"/>
      <c r="M8" s="13" t="s">
        <v>146</v>
      </c>
      <c r="N8" s="14" t="s">
        <v>145</v>
      </c>
      <c r="O8" s="7"/>
      <c r="P8" s="7"/>
      <c r="Q8" s="7"/>
      <c r="R8" s="7"/>
      <c r="S8" s="7"/>
      <c r="T8" s="7"/>
      <c r="U8" s="7"/>
      <c r="V8" s="7"/>
      <c r="W8" s="7"/>
    </row>
    <row r="9" spans="1:27" ht="14.4">
      <c r="A9" s="8">
        <v>1008</v>
      </c>
      <c r="B9" s="8" t="s">
        <v>54</v>
      </c>
      <c r="C9" s="8">
        <v>94</v>
      </c>
      <c r="D9" s="8">
        <v>67</v>
      </c>
      <c r="E9" s="8">
        <v>64</v>
      </c>
      <c r="F9" s="17">
        <v>44361</v>
      </c>
      <c r="G9" s="34">
        <f t="shared" si="0"/>
        <v>225</v>
      </c>
      <c r="H9" s="35">
        <f t="shared" si="3"/>
        <v>75</v>
      </c>
      <c r="I9" s="34" t="str">
        <f t="shared" si="1"/>
        <v>C</v>
      </c>
      <c r="J9" s="34" t="str">
        <f t="shared" si="2"/>
        <v>Bad</v>
      </c>
      <c r="K9" s="34" t="str">
        <f>IF(H9&gt;=75,"top-performing","Last-Performing")</f>
        <v>top-performing</v>
      </c>
      <c r="L9" s="7"/>
      <c r="O9" s="7"/>
      <c r="P9" s="7"/>
      <c r="Q9" s="7"/>
      <c r="R9" s="7"/>
      <c r="S9" s="7"/>
      <c r="T9" s="7"/>
      <c r="U9" s="7"/>
      <c r="V9" s="7"/>
      <c r="W9" s="7"/>
    </row>
    <row r="10" spans="1:27" ht="14.4">
      <c r="A10" s="8">
        <v>1009</v>
      </c>
      <c r="B10" s="8" t="s">
        <v>55</v>
      </c>
      <c r="C10" s="8">
        <v>41</v>
      </c>
      <c r="D10" s="8">
        <v>75</v>
      </c>
      <c r="E10" s="8">
        <v>56</v>
      </c>
      <c r="F10" s="17">
        <v>44541</v>
      </c>
      <c r="G10" s="34">
        <f t="shared" si="0"/>
        <v>172</v>
      </c>
      <c r="H10" s="35">
        <f t="shared" si="3"/>
        <v>57.333333333333336</v>
      </c>
      <c r="I10" s="34" t="str">
        <f t="shared" si="1"/>
        <v>E</v>
      </c>
      <c r="J10" s="34" t="str">
        <f t="shared" si="2"/>
        <v>Bad</v>
      </c>
      <c r="K10" s="34" t="str">
        <f t="shared" si="4"/>
        <v>Last-Performing</v>
      </c>
      <c r="L10" s="7"/>
      <c r="M10" s="21" t="s">
        <v>156</v>
      </c>
      <c r="N10" s="21"/>
      <c r="O10" s="21"/>
      <c r="P10" s="21"/>
      <c r="Q10" s="21"/>
      <c r="R10" s="7"/>
      <c r="S10" s="7"/>
      <c r="T10" s="7"/>
      <c r="U10" s="7"/>
      <c r="V10" s="7"/>
      <c r="W10" s="7"/>
    </row>
    <row r="11" spans="1:27" ht="14.4">
      <c r="A11" s="8">
        <v>1010</v>
      </c>
      <c r="B11" s="8" t="s">
        <v>56</v>
      </c>
      <c r="C11" s="8">
        <v>98</v>
      </c>
      <c r="D11" s="8">
        <v>54</v>
      </c>
      <c r="E11" s="8">
        <v>58</v>
      </c>
      <c r="F11" s="17">
        <v>44721</v>
      </c>
      <c r="G11" s="34">
        <f t="shared" si="0"/>
        <v>210</v>
      </c>
      <c r="H11" s="35">
        <f t="shared" si="3"/>
        <v>70</v>
      </c>
      <c r="I11" s="34" t="str">
        <f t="shared" si="1"/>
        <v>C</v>
      </c>
      <c r="J11" s="34" t="str">
        <f t="shared" si="2"/>
        <v>Bad</v>
      </c>
      <c r="K11" s="34" t="str">
        <f t="shared" si="4"/>
        <v>Last-Performing</v>
      </c>
      <c r="L11" s="7"/>
      <c r="M11" s="42">
        <f>COUNTIFS(C2:C21,"&gt;=50")</f>
        <v>19</v>
      </c>
      <c r="N11" s="7"/>
      <c r="O11" s="7"/>
      <c r="P11" s="7"/>
      <c r="Q11" s="7"/>
      <c r="R11" s="7"/>
      <c r="S11" s="7"/>
      <c r="T11" s="7"/>
      <c r="U11" s="7"/>
      <c r="V11" s="7"/>
      <c r="W11" s="7"/>
      <c r="X11" s="7"/>
    </row>
    <row r="12" spans="1:27" ht="14.4">
      <c r="A12" s="8">
        <v>1011</v>
      </c>
      <c r="B12" s="8" t="s">
        <v>57</v>
      </c>
      <c r="C12" s="8">
        <v>73</v>
      </c>
      <c r="D12" s="8">
        <v>79</v>
      </c>
      <c r="E12" s="8">
        <v>53</v>
      </c>
      <c r="F12" s="17">
        <v>44901</v>
      </c>
      <c r="G12" s="34">
        <f t="shared" si="0"/>
        <v>205</v>
      </c>
      <c r="H12" s="35">
        <f t="shared" si="3"/>
        <v>68.333333333333329</v>
      </c>
      <c r="I12" s="34" t="str">
        <f t="shared" si="1"/>
        <v>D</v>
      </c>
      <c r="J12" s="34" t="str">
        <f t="shared" si="2"/>
        <v>Bad</v>
      </c>
      <c r="K12" s="34" t="str">
        <f>IF(H12&gt;=75,"top-performing","Last-Performing")</f>
        <v>Last-Performing</v>
      </c>
      <c r="L12" s="7"/>
      <c r="M12" s="7"/>
      <c r="N12" s="7"/>
      <c r="O12" s="7"/>
      <c r="P12" s="7"/>
      <c r="Q12" s="7"/>
      <c r="R12" s="7"/>
      <c r="S12" s="7"/>
      <c r="T12" s="7"/>
      <c r="U12" s="7"/>
      <c r="V12" s="7"/>
      <c r="W12" s="7"/>
      <c r="X12" s="7"/>
      <c r="Y12" s="7"/>
      <c r="Z12" s="7"/>
      <c r="AA12" s="7"/>
    </row>
    <row r="13" spans="1:27" ht="14.4">
      <c r="A13" s="8">
        <v>1012</v>
      </c>
      <c r="B13" s="8" t="s">
        <v>58</v>
      </c>
      <c r="C13" s="8">
        <v>85</v>
      </c>
      <c r="D13" s="8">
        <v>89</v>
      </c>
      <c r="E13" s="8">
        <v>79</v>
      </c>
      <c r="F13" s="17">
        <v>45081</v>
      </c>
      <c r="G13" s="34">
        <f t="shared" si="0"/>
        <v>253</v>
      </c>
      <c r="H13" s="35">
        <f t="shared" si="3"/>
        <v>84.333333333333329</v>
      </c>
      <c r="I13" s="34" t="str">
        <f t="shared" si="1"/>
        <v>B</v>
      </c>
      <c r="J13" s="34" t="str">
        <f t="shared" si="2"/>
        <v>Good</v>
      </c>
      <c r="K13" s="34" t="str">
        <f>IF(H13&gt;=75,"top-performing","Last-Performing")</f>
        <v>top-performing</v>
      </c>
      <c r="L13" s="7"/>
      <c r="M13" s="23" t="s">
        <v>158</v>
      </c>
      <c r="N13" s="39"/>
      <c r="O13" s="39"/>
      <c r="P13" s="39"/>
      <c r="Q13" s="40"/>
      <c r="R13" s="7"/>
      <c r="S13" s="7"/>
      <c r="T13" s="7"/>
      <c r="U13" s="7"/>
      <c r="V13" s="7"/>
      <c r="W13" s="7"/>
      <c r="X13" s="7"/>
      <c r="Y13" s="7"/>
      <c r="Z13" s="7"/>
      <c r="AA13" s="7"/>
    </row>
    <row r="14" spans="1:27" ht="14.4">
      <c r="A14" s="8">
        <v>1013</v>
      </c>
      <c r="B14" s="8" t="s">
        <v>59</v>
      </c>
      <c r="C14" s="8">
        <v>98</v>
      </c>
      <c r="D14" s="8">
        <v>90</v>
      </c>
      <c r="E14" s="8">
        <v>97</v>
      </c>
      <c r="F14" s="17">
        <v>45261</v>
      </c>
      <c r="G14" s="34">
        <f t="shared" si="0"/>
        <v>285</v>
      </c>
      <c r="H14" s="35">
        <f t="shared" si="3"/>
        <v>95</v>
      </c>
      <c r="I14" s="34" t="str">
        <f t="shared" si="1"/>
        <v>A+</v>
      </c>
      <c r="J14" s="34" t="str">
        <f t="shared" si="2"/>
        <v>Good</v>
      </c>
      <c r="K14" s="34" t="str">
        <f t="shared" ref="K14:K19" si="5">IF(H14&gt;=75,"top-performing","Last-Performing")</f>
        <v>top-performing</v>
      </c>
      <c r="L14" s="7"/>
      <c r="M14" s="42">
        <f>AVERAGEIFS(H2:H21,H2:H21,"&gt;60")</f>
        <v>73.625000000000014</v>
      </c>
      <c r="N14" s="7"/>
      <c r="O14" s="7"/>
      <c r="P14" s="7"/>
      <c r="Q14" s="7"/>
      <c r="R14" s="2"/>
      <c r="S14" s="7"/>
      <c r="T14" s="7"/>
      <c r="U14" s="7"/>
      <c r="V14" s="7"/>
      <c r="W14" s="7"/>
      <c r="X14" s="7"/>
      <c r="Y14" s="7"/>
      <c r="Z14" s="7"/>
      <c r="AA14" s="7"/>
    </row>
    <row r="15" spans="1:27" ht="14.4">
      <c r="A15" s="8">
        <v>1014</v>
      </c>
      <c r="B15" s="8" t="s">
        <v>60</v>
      </c>
      <c r="C15" s="8">
        <v>93</v>
      </c>
      <c r="D15" s="8">
        <v>40</v>
      </c>
      <c r="E15" s="8">
        <v>44</v>
      </c>
      <c r="F15" s="17">
        <v>45441</v>
      </c>
      <c r="G15" s="34">
        <f t="shared" si="0"/>
        <v>177</v>
      </c>
      <c r="H15" s="35">
        <f t="shared" si="3"/>
        <v>59</v>
      </c>
      <c r="I15" s="34" t="str">
        <f t="shared" si="1"/>
        <v>E</v>
      </c>
      <c r="J15" s="34" t="str">
        <f t="shared" si="2"/>
        <v>Bad</v>
      </c>
      <c r="K15" s="34" t="str">
        <f t="shared" si="5"/>
        <v>Last-Performing</v>
      </c>
      <c r="L15" s="7"/>
      <c r="M15" s="7"/>
      <c r="N15" s="7"/>
      <c r="O15" s="7"/>
      <c r="P15" s="7"/>
      <c r="Q15" s="7"/>
      <c r="R15" s="7"/>
      <c r="S15" s="7"/>
      <c r="T15" s="7"/>
      <c r="U15" s="7"/>
      <c r="V15" s="7"/>
      <c r="W15" s="7"/>
      <c r="X15" s="7"/>
      <c r="Y15" s="7"/>
      <c r="Z15" s="7"/>
      <c r="AA15" s="7"/>
    </row>
    <row r="16" spans="1:27" ht="14.4">
      <c r="A16" s="8">
        <v>1015</v>
      </c>
      <c r="B16" s="8" t="s">
        <v>61</v>
      </c>
      <c r="C16" s="8">
        <v>70</v>
      </c>
      <c r="D16" s="8">
        <v>51</v>
      </c>
      <c r="E16" s="8">
        <v>75</v>
      </c>
      <c r="F16" s="17">
        <v>45621</v>
      </c>
      <c r="G16" s="34">
        <f t="shared" si="0"/>
        <v>196</v>
      </c>
      <c r="H16" s="35">
        <f t="shared" si="3"/>
        <v>65.333333333333329</v>
      </c>
      <c r="I16" s="34" t="str">
        <f t="shared" si="1"/>
        <v>D</v>
      </c>
      <c r="J16" s="34" t="str">
        <f t="shared" si="2"/>
        <v>Bad</v>
      </c>
      <c r="K16" s="34" t="str">
        <f>IF(H16&gt;=75,"top-performing","Last-Performing")</f>
        <v>Last-Performing</v>
      </c>
      <c r="L16" s="7"/>
      <c r="M16" s="31" t="s">
        <v>159</v>
      </c>
      <c r="N16" s="31"/>
      <c r="O16" s="31"/>
      <c r="P16" s="31"/>
      <c r="Q16" s="31"/>
      <c r="R16" s="7"/>
      <c r="S16" s="7"/>
      <c r="T16" s="7"/>
      <c r="U16" s="7"/>
      <c r="V16" s="7"/>
      <c r="W16" s="7"/>
      <c r="X16" s="7"/>
      <c r="Y16" s="7"/>
      <c r="Z16" s="7"/>
      <c r="AA16" s="7"/>
    </row>
    <row r="17" spans="1:27" ht="14.4">
      <c r="A17" s="8">
        <v>1016</v>
      </c>
      <c r="B17" s="8" t="s">
        <v>62</v>
      </c>
      <c r="C17" s="8">
        <v>98</v>
      </c>
      <c r="D17" s="8">
        <v>77</v>
      </c>
      <c r="E17" s="8">
        <v>60</v>
      </c>
      <c r="F17" s="17">
        <v>45801</v>
      </c>
      <c r="G17" s="34">
        <f t="shared" si="0"/>
        <v>235</v>
      </c>
      <c r="H17" s="35">
        <f t="shared" si="3"/>
        <v>78.333333333333329</v>
      </c>
      <c r="I17" s="34" t="str">
        <f t="shared" si="1"/>
        <v>C</v>
      </c>
      <c r="J17" s="34" t="str">
        <f t="shared" si="2"/>
        <v>Bad</v>
      </c>
      <c r="K17" s="34" t="str">
        <f t="shared" si="5"/>
        <v>top-performing</v>
      </c>
      <c r="L17" s="7"/>
      <c r="M17" s="26" t="s">
        <v>41</v>
      </c>
      <c r="N17" s="27" t="s">
        <v>42</v>
      </c>
      <c r="O17" s="7"/>
      <c r="P17" s="7"/>
      <c r="Q17" s="7"/>
      <c r="R17" s="7"/>
      <c r="S17" s="7"/>
      <c r="T17" s="7"/>
      <c r="U17" s="7"/>
      <c r="V17" s="7"/>
      <c r="W17" s="7"/>
      <c r="X17" s="7"/>
      <c r="Y17" s="7"/>
      <c r="Z17" s="7"/>
      <c r="AA17" s="7"/>
    </row>
    <row r="18" spans="1:27" ht="14.4">
      <c r="A18" s="8">
        <v>1017</v>
      </c>
      <c r="B18" s="8" t="s">
        <v>63</v>
      </c>
      <c r="C18" s="8">
        <v>66</v>
      </c>
      <c r="D18" s="8">
        <v>59</v>
      </c>
      <c r="E18" s="8">
        <v>40</v>
      </c>
      <c r="F18" s="17">
        <v>45981</v>
      </c>
      <c r="G18" s="34">
        <f t="shared" si="0"/>
        <v>165</v>
      </c>
      <c r="H18" s="35">
        <f t="shared" si="3"/>
        <v>55</v>
      </c>
      <c r="I18" s="34" t="str">
        <f t="shared" si="1"/>
        <v>E</v>
      </c>
      <c r="J18" s="34" t="str">
        <f t="shared" si="2"/>
        <v>Bad</v>
      </c>
      <c r="K18" s="34" t="str">
        <f t="shared" si="5"/>
        <v>Last-Performing</v>
      </c>
      <c r="L18" s="7"/>
      <c r="M18" s="24">
        <v>1001</v>
      </c>
      <c r="N18" s="25" t="str">
        <f>VLOOKUP(A2,$A$2:$B$21,2,FALSE)</f>
        <v>Student 1</v>
      </c>
      <c r="O18" s="7"/>
      <c r="P18" s="7"/>
      <c r="Q18" s="7"/>
      <c r="R18" s="7"/>
      <c r="S18" s="7"/>
      <c r="T18" s="7"/>
      <c r="U18" s="7"/>
      <c r="V18" s="7"/>
      <c r="W18" s="7"/>
    </row>
    <row r="19" spans="1:27" ht="14.4">
      <c r="A19" s="8">
        <v>1018</v>
      </c>
      <c r="B19" s="8" t="s">
        <v>64</v>
      </c>
      <c r="C19" s="8">
        <v>82</v>
      </c>
      <c r="D19" s="8">
        <v>48</v>
      </c>
      <c r="E19" s="8">
        <v>79</v>
      </c>
      <c r="F19" s="17">
        <v>46161</v>
      </c>
      <c r="G19" s="34">
        <f t="shared" si="0"/>
        <v>209</v>
      </c>
      <c r="H19" s="35">
        <f t="shared" si="3"/>
        <v>69.666666666666671</v>
      </c>
      <c r="I19" s="34" t="str">
        <f t="shared" si="1"/>
        <v>D</v>
      </c>
      <c r="J19" s="34" t="str">
        <f t="shared" si="2"/>
        <v>Bad</v>
      </c>
      <c r="K19" s="34" t="str">
        <f>IF(H19&gt;=75,"top-performing","Last-Performing")</f>
        <v>Last-Performing</v>
      </c>
      <c r="L19" s="7"/>
      <c r="M19" s="24">
        <v>1002</v>
      </c>
      <c r="N19" s="25" t="str">
        <f t="shared" ref="N19:N22" si="6">VLOOKUP(A3,$A$2:$B$21,2,FALSE)</f>
        <v>Student 2</v>
      </c>
      <c r="O19" s="7"/>
      <c r="P19" s="7"/>
      <c r="Q19" s="7"/>
      <c r="R19" s="7"/>
      <c r="S19" s="7"/>
      <c r="T19" s="7"/>
      <c r="U19" s="7"/>
      <c r="V19" s="7"/>
      <c r="W19" s="7"/>
    </row>
    <row r="20" spans="1:27" ht="14.4">
      <c r="A20" s="8">
        <v>1019</v>
      </c>
      <c r="B20" s="8" t="s">
        <v>65</v>
      </c>
      <c r="C20" s="8">
        <v>90</v>
      </c>
      <c r="D20" s="8">
        <v>78</v>
      </c>
      <c r="E20" s="8">
        <v>60</v>
      </c>
      <c r="F20" s="17">
        <v>46341</v>
      </c>
      <c r="G20" s="34">
        <f t="shared" si="0"/>
        <v>228</v>
      </c>
      <c r="H20" s="35">
        <f t="shared" si="3"/>
        <v>76</v>
      </c>
      <c r="I20" s="34" t="str">
        <f t="shared" si="1"/>
        <v>C</v>
      </c>
      <c r="J20" s="34" t="str">
        <f t="shared" si="2"/>
        <v>Bad</v>
      </c>
      <c r="K20" s="34" t="str">
        <f>IF(H20&gt;=75,"top-performing","Last-Performing")</f>
        <v>top-performing</v>
      </c>
      <c r="L20" s="7"/>
      <c r="M20" s="24">
        <v>1003</v>
      </c>
      <c r="N20" s="25" t="str">
        <f t="shared" si="6"/>
        <v>Student 3</v>
      </c>
      <c r="O20" s="7"/>
      <c r="P20" s="7"/>
      <c r="Q20" s="7"/>
      <c r="R20" s="7"/>
      <c r="S20" s="7"/>
      <c r="T20" s="7"/>
      <c r="U20" s="7"/>
      <c r="V20" s="7"/>
      <c r="W20" s="7"/>
    </row>
    <row r="21" spans="1:27" ht="15.75" customHeight="1">
      <c r="A21" s="8">
        <v>1020</v>
      </c>
      <c r="B21" s="8" t="s">
        <v>66</v>
      </c>
      <c r="C21" s="8">
        <v>83</v>
      </c>
      <c r="D21" s="8">
        <v>92</v>
      </c>
      <c r="E21" s="8">
        <v>55</v>
      </c>
      <c r="F21" s="17">
        <v>46521</v>
      </c>
      <c r="G21" s="34">
        <f t="shared" si="0"/>
        <v>230</v>
      </c>
      <c r="H21" s="35">
        <f t="shared" si="3"/>
        <v>76.666666666666671</v>
      </c>
      <c r="I21" s="34" t="str">
        <f t="shared" si="1"/>
        <v>C</v>
      </c>
      <c r="J21" s="34" t="str">
        <f t="shared" si="2"/>
        <v>Good</v>
      </c>
      <c r="K21" s="34" t="str">
        <f t="shared" ref="K21" si="7">IF(H21&gt;=75,"top-performing","Last-Performing")</f>
        <v>top-performing</v>
      </c>
      <c r="L21" s="7"/>
      <c r="M21" s="24">
        <v>1004</v>
      </c>
      <c r="N21" s="25" t="str">
        <f t="shared" si="6"/>
        <v>Student 4</v>
      </c>
      <c r="O21" s="7"/>
      <c r="P21" s="7"/>
      <c r="Q21" s="7"/>
      <c r="R21" s="7"/>
      <c r="S21" s="7"/>
      <c r="T21" s="7"/>
      <c r="U21" s="7"/>
      <c r="V21" s="7"/>
      <c r="W21" s="7"/>
    </row>
    <row r="22" spans="1:27" ht="15.75" customHeight="1">
      <c r="A22" s="7"/>
      <c r="B22" s="7"/>
      <c r="C22" s="7"/>
      <c r="D22" s="7"/>
      <c r="E22" s="7"/>
      <c r="F22" s="7"/>
      <c r="G22" s="7"/>
      <c r="H22" s="7"/>
      <c r="I22" s="7"/>
      <c r="J22" s="7"/>
      <c r="K22" s="7"/>
      <c r="L22" s="7"/>
      <c r="M22" s="28">
        <v>1005</v>
      </c>
      <c r="N22" s="29" t="str">
        <f t="shared" si="6"/>
        <v>Student 5</v>
      </c>
      <c r="O22" s="7"/>
      <c r="P22" s="7"/>
      <c r="Q22" s="7"/>
      <c r="R22" s="7"/>
      <c r="S22" s="7"/>
      <c r="T22" s="7"/>
      <c r="U22" s="7"/>
      <c r="V22" s="7"/>
      <c r="W22" s="7"/>
    </row>
    <row r="23" spans="1:27" ht="15.75" customHeight="1">
      <c r="A23" s="7"/>
      <c r="B23" s="7"/>
      <c r="C23" s="7"/>
      <c r="D23" s="7"/>
      <c r="E23" s="7"/>
      <c r="F23" s="7"/>
      <c r="G23" s="7"/>
      <c r="H23" s="7"/>
      <c r="I23" s="7"/>
      <c r="J23" s="7"/>
      <c r="K23" s="7"/>
      <c r="L23" s="7"/>
      <c r="M23" s="7"/>
      <c r="N23" s="7"/>
      <c r="O23" s="7"/>
      <c r="P23" s="7"/>
      <c r="Q23" s="7"/>
      <c r="R23" s="7"/>
      <c r="S23" s="7"/>
      <c r="T23" s="7"/>
      <c r="U23" s="7"/>
      <c r="V23" s="7"/>
      <c r="W23" s="7"/>
    </row>
    <row r="24" spans="1:27" ht="15.75" customHeight="1">
      <c r="A24" s="7"/>
      <c r="B24" s="7"/>
      <c r="C24" s="7"/>
      <c r="D24" s="7"/>
      <c r="E24" s="7"/>
      <c r="F24" s="7"/>
      <c r="G24" s="7"/>
      <c r="H24" s="7"/>
      <c r="I24" s="7"/>
      <c r="J24" s="7"/>
      <c r="K24" s="7"/>
      <c r="L24" s="7"/>
      <c r="M24" s="23" t="s">
        <v>168</v>
      </c>
      <c r="N24" s="39"/>
      <c r="O24" s="39"/>
      <c r="P24" s="39"/>
      <c r="Q24" s="40"/>
      <c r="R24" s="7"/>
      <c r="S24" s="7"/>
      <c r="T24" s="7"/>
      <c r="U24" s="7"/>
      <c r="V24" s="7"/>
      <c r="W24" s="7"/>
    </row>
    <row r="25" spans="1:27" ht="15.75" customHeight="1">
      <c r="A25" s="7"/>
      <c r="B25" s="7"/>
      <c r="C25" s="7"/>
      <c r="D25" s="7"/>
      <c r="E25" s="7"/>
      <c r="F25" s="7"/>
      <c r="G25" s="7"/>
      <c r="H25" s="7"/>
      <c r="I25" s="7"/>
      <c r="J25" s="7"/>
      <c r="K25" s="7"/>
      <c r="L25" s="7"/>
      <c r="M25" s="45" t="str">
        <f>LEFT(B2,FIND(" ",B2)-1)</f>
        <v>Student</v>
      </c>
      <c r="N25" s="7"/>
      <c r="O25" s="7"/>
      <c r="P25" s="7"/>
      <c r="Q25" s="7"/>
      <c r="R25" s="7"/>
      <c r="S25" s="7"/>
      <c r="T25" s="7"/>
      <c r="U25" s="7"/>
      <c r="V25" s="7"/>
      <c r="W25" s="7"/>
      <c r="X25" s="7"/>
      <c r="Y25" s="7"/>
      <c r="Z25" s="7"/>
      <c r="AA25" s="7"/>
    </row>
    <row r="26" spans="1:27"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5.75" customHeight="1">
      <c r="A27" s="7"/>
      <c r="B27" s="7"/>
      <c r="C27" s="7"/>
      <c r="D27" s="7"/>
      <c r="E27" s="7"/>
      <c r="F27" s="7"/>
      <c r="G27" s="7"/>
      <c r="H27" s="7"/>
      <c r="I27" s="7"/>
      <c r="J27" s="7"/>
      <c r="K27" s="7"/>
      <c r="L27" s="7"/>
      <c r="M27" s="51" t="s">
        <v>180</v>
      </c>
      <c r="N27" s="52"/>
      <c r="O27" s="52"/>
      <c r="P27" s="52"/>
      <c r="Q27" s="52"/>
      <c r="R27" s="7"/>
      <c r="S27" s="7"/>
      <c r="T27" s="7"/>
      <c r="U27" s="7"/>
      <c r="V27" s="7"/>
      <c r="W27" s="7"/>
      <c r="X27" s="7"/>
      <c r="Y27" s="7"/>
      <c r="Z27" s="7"/>
      <c r="AA27" s="7"/>
    </row>
    <row r="28" spans="1:27" ht="15.75" customHeight="1">
      <c r="A28" s="7"/>
      <c r="B28" s="7"/>
      <c r="C28" s="7"/>
      <c r="D28" s="7"/>
      <c r="E28" s="7"/>
      <c r="F28" s="7"/>
      <c r="G28" s="7"/>
      <c r="H28" s="7"/>
      <c r="I28" s="7"/>
      <c r="J28" s="7"/>
      <c r="K28" s="7"/>
      <c r="L28" s="7"/>
      <c r="M28" s="45">
        <f ca="1">DATEDIF(F2,TODAY(),"Y")</f>
        <v>8</v>
      </c>
      <c r="N28" s="7"/>
      <c r="O28" s="7"/>
      <c r="P28" s="7"/>
      <c r="Q28" s="7"/>
      <c r="R28" s="7"/>
      <c r="S28" s="7"/>
      <c r="T28" s="7"/>
      <c r="U28" s="7"/>
      <c r="V28" s="7"/>
      <c r="W28" s="7"/>
      <c r="X28" s="7"/>
      <c r="Y28" s="7"/>
      <c r="Z28" s="7"/>
      <c r="AA28" s="7"/>
    </row>
    <row r="29" spans="1:27"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5.75" customHeight="1">
      <c r="A998" s="7"/>
      <c r="B998" s="7"/>
      <c r="C998" s="7"/>
      <c r="D998" s="7"/>
      <c r="E998" s="7"/>
      <c r="F998" s="7"/>
      <c r="G998" s="7"/>
      <c r="H998" s="7"/>
      <c r="I998" s="7"/>
      <c r="J998" s="7"/>
      <c r="K998" s="7"/>
      <c r="L998" s="7"/>
      <c r="O998" s="7"/>
      <c r="P998" s="7"/>
      <c r="Q998" s="7"/>
      <c r="R998" s="7"/>
      <c r="S998" s="7"/>
      <c r="T998" s="7"/>
      <c r="U998" s="7"/>
      <c r="V998" s="7"/>
      <c r="W998" s="7"/>
      <c r="X998" s="7"/>
      <c r="Y998" s="7"/>
      <c r="Z998" s="7"/>
      <c r="AA998" s="7"/>
    </row>
    <row r="999" spans="1:27" ht="15.75" customHeight="1">
      <c r="A999" s="7"/>
      <c r="B999" s="7"/>
      <c r="C999" s="7"/>
      <c r="D999" s="7"/>
      <c r="E999" s="7"/>
      <c r="F999" s="7"/>
      <c r="G999" s="7"/>
      <c r="H999" s="7"/>
      <c r="I999" s="7"/>
      <c r="J999" s="7"/>
      <c r="K999" s="7"/>
      <c r="L999" s="7"/>
      <c r="R999" s="7"/>
      <c r="S999" s="7"/>
      <c r="T999" s="7"/>
      <c r="U999" s="7"/>
      <c r="V999" s="7"/>
      <c r="W999" s="7"/>
      <c r="X999" s="7"/>
      <c r="Y999" s="7"/>
      <c r="Z999" s="7"/>
      <c r="AA999" s="7"/>
    </row>
    <row r="1000" spans="1:27" ht="15.75" customHeight="1">
      <c r="A1000" s="7"/>
      <c r="B1000" s="7"/>
      <c r="C1000" s="7"/>
      <c r="D1000" s="7"/>
      <c r="E1000" s="7"/>
      <c r="F1000" s="7"/>
      <c r="G1000" s="7"/>
      <c r="H1000" s="7"/>
      <c r="I1000" s="7"/>
      <c r="J1000" s="7"/>
      <c r="L1000" s="7"/>
      <c r="R1000" s="7"/>
      <c r="S1000" s="7"/>
      <c r="T1000" s="7"/>
      <c r="U1000" s="7"/>
      <c r="V1000" s="7"/>
      <c r="W1000" s="7"/>
      <c r="X1000" s="7"/>
      <c r="Y1000" s="7"/>
      <c r="Z1000" s="7"/>
      <c r="AA1000" s="7"/>
    </row>
  </sheetData>
  <mergeCells count="3">
    <mergeCell ref="M1:Q1"/>
    <mergeCell ref="M16:Q16"/>
    <mergeCell ref="M27:Q27"/>
  </mergeCells>
  <pageMargins left="0.75" right="0.75" top="1" bottom="1" header="0" footer="0"/>
  <pageSetup orientation="landscape"/>
  <ignoredErrors>
    <ignoredError sqref="G2:G21" formulaRange="1"/>
  </ignoredErrors>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3" workbookViewId="0">
      <selection activeCell="H25" sqref="H25"/>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10.21875" customWidth="1"/>
    <col min="8" max="8" width="15.44140625" customWidth="1"/>
    <col min="9" max="9" width="15" customWidth="1"/>
    <col min="10" max="10" width="33.5546875" customWidth="1"/>
    <col min="11" max="11" width="11.21875" customWidth="1"/>
    <col min="12" max="12" width="15.21875" customWidth="1"/>
    <col min="13" max="13" width="14.77734375" customWidth="1"/>
    <col min="14" max="14" width="10.77734375" customWidth="1"/>
    <col min="15" max="26" width="8.6640625" customWidth="1"/>
  </cols>
  <sheetData>
    <row r="1" spans="1:26" ht="14.4">
      <c r="A1" s="6" t="s">
        <v>67</v>
      </c>
      <c r="B1" s="6" t="s">
        <v>68</v>
      </c>
      <c r="C1" s="6" t="s">
        <v>69</v>
      </c>
      <c r="D1" s="6" t="s">
        <v>70</v>
      </c>
      <c r="E1" s="6" t="s">
        <v>71</v>
      </c>
      <c r="F1" s="18" t="s">
        <v>72</v>
      </c>
      <c r="G1" s="19" t="s">
        <v>147</v>
      </c>
      <c r="H1" s="19" t="s">
        <v>152</v>
      </c>
      <c r="I1" s="19" t="s">
        <v>153</v>
      </c>
      <c r="J1" s="19" t="s">
        <v>155</v>
      </c>
      <c r="K1" s="7"/>
      <c r="L1" s="31" t="s">
        <v>151</v>
      </c>
      <c r="M1" s="31"/>
      <c r="N1" s="31"/>
      <c r="O1" s="31"/>
      <c r="P1" s="31"/>
      <c r="Q1" s="7"/>
      <c r="R1" s="7"/>
      <c r="S1" s="7"/>
      <c r="T1" s="7"/>
      <c r="U1" s="7"/>
      <c r="V1" s="7"/>
      <c r="W1" s="7"/>
      <c r="X1" s="7"/>
      <c r="Y1" s="7"/>
      <c r="Z1" s="7"/>
    </row>
    <row r="2" spans="1:26" ht="14.4">
      <c r="A2" s="8">
        <v>2001</v>
      </c>
      <c r="B2" s="8" t="s">
        <v>73</v>
      </c>
      <c r="C2" s="8" t="s">
        <v>74</v>
      </c>
      <c r="D2" s="8" t="s">
        <v>75</v>
      </c>
      <c r="E2" s="8">
        <v>7048</v>
      </c>
      <c r="F2" s="17">
        <v>44927</v>
      </c>
      <c r="G2" s="36">
        <f>IF(E2&lt;10000,5%,IF(E2&lt;=30000,10%,15%))</f>
        <v>0.05</v>
      </c>
      <c r="H2" s="35">
        <f>E2*G2</f>
        <v>352.40000000000003</v>
      </c>
      <c r="I2" s="35">
        <f>E2-H2</f>
        <v>6695.6</v>
      </c>
      <c r="J2" s="34" t="str">
        <f>IF(OR(B2="Keyboard",B2="Laptop"),"Eligible","Not Eligible")</f>
        <v>Eligible</v>
      </c>
      <c r="K2" s="7"/>
      <c r="L2" s="16" t="s">
        <v>71</v>
      </c>
      <c r="M2" s="16" t="s">
        <v>147</v>
      </c>
      <c r="N2" s="7"/>
      <c r="O2" s="7"/>
      <c r="P2" s="7"/>
      <c r="Q2" s="7"/>
      <c r="R2" s="7"/>
      <c r="S2" s="7"/>
      <c r="T2" s="7"/>
      <c r="U2" s="7"/>
      <c r="V2" s="7"/>
      <c r="W2" s="7"/>
      <c r="X2" s="7"/>
      <c r="Y2" s="7"/>
      <c r="Z2" s="7"/>
    </row>
    <row r="3" spans="1:26" ht="14.4">
      <c r="A3" s="8">
        <v>2002</v>
      </c>
      <c r="B3" s="8" t="s">
        <v>76</v>
      </c>
      <c r="C3" s="8" t="s">
        <v>77</v>
      </c>
      <c r="D3" s="8" t="s">
        <v>78</v>
      </c>
      <c r="E3" s="8">
        <v>17428</v>
      </c>
      <c r="F3" s="17">
        <v>44942</v>
      </c>
      <c r="G3" s="36">
        <f t="shared" ref="G3:G21" si="0">IF(E3&lt;10000,5%,IF(E3&lt;=30000,10%,15%))</f>
        <v>0.1</v>
      </c>
      <c r="H3" s="35">
        <f t="shared" ref="H3:H21" si="1">E3*G3</f>
        <v>1742.8000000000002</v>
      </c>
      <c r="I3" s="35">
        <f t="shared" ref="I3:I21" si="2">E3-H3</f>
        <v>15685.2</v>
      </c>
      <c r="J3" s="34" t="str">
        <f t="shared" ref="J3:J21" si="3">IF(OR(B3="Keyboard",B3="Laptop"),"Eligible","Not Eligible")</f>
        <v>Not Eligible</v>
      </c>
      <c r="K3" s="7"/>
      <c r="L3" s="15" t="s">
        <v>148</v>
      </c>
      <c r="M3" s="32">
        <v>0.05</v>
      </c>
      <c r="N3" s="7"/>
      <c r="O3" s="7"/>
      <c r="P3" s="7"/>
      <c r="Q3" s="7"/>
      <c r="R3" s="7"/>
      <c r="S3" s="7"/>
      <c r="T3" s="7"/>
      <c r="U3" s="7"/>
      <c r="V3" s="7"/>
      <c r="W3" s="7"/>
      <c r="X3" s="7"/>
      <c r="Y3" s="7"/>
      <c r="Z3" s="7"/>
    </row>
    <row r="4" spans="1:26" ht="14.4">
      <c r="A4" s="8">
        <v>2003</v>
      </c>
      <c r="B4" s="8" t="s">
        <v>79</v>
      </c>
      <c r="C4" s="8" t="s">
        <v>74</v>
      </c>
      <c r="D4" s="8" t="s">
        <v>80</v>
      </c>
      <c r="E4" s="8">
        <v>23672</v>
      </c>
      <c r="F4" s="17">
        <v>44957</v>
      </c>
      <c r="G4" s="36">
        <f t="shared" si="0"/>
        <v>0.1</v>
      </c>
      <c r="H4" s="35">
        <f t="shared" si="1"/>
        <v>2367.2000000000003</v>
      </c>
      <c r="I4" s="35">
        <f t="shared" si="2"/>
        <v>21304.799999999999</v>
      </c>
      <c r="J4" s="34" t="str">
        <f t="shared" si="3"/>
        <v>Not Eligible</v>
      </c>
      <c r="K4" s="7"/>
      <c r="L4" s="15" t="s">
        <v>149</v>
      </c>
      <c r="M4" s="32">
        <v>0.1</v>
      </c>
      <c r="N4" s="7"/>
      <c r="O4" s="7"/>
      <c r="P4" s="7"/>
      <c r="Q4" s="7"/>
      <c r="R4" s="7"/>
      <c r="S4" s="7"/>
      <c r="T4" s="7"/>
      <c r="U4" s="7"/>
      <c r="V4" s="7"/>
      <c r="W4" s="7"/>
      <c r="X4" s="7"/>
      <c r="Y4" s="7"/>
      <c r="Z4" s="7"/>
    </row>
    <row r="5" spans="1:26" ht="14.4">
      <c r="A5" s="8">
        <v>2004</v>
      </c>
      <c r="B5" s="8" t="s">
        <v>76</v>
      </c>
      <c r="C5" s="8" t="s">
        <v>81</v>
      </c>
      <c r="D5" s="8" t="s">
        <v>82</v>
      </c>
      <c r="E5" s="8">
        <v>5264</v>
      </c>
      <c r="F5" s="17">
        <v>44972</v>
      </c>
      <c r="G5" s="36">
        <f t="shared" si="0"/>
        <v>0.05</v>
      </c>
      <c r="H5" s="35">
        <f t="shared" si="1"/>
        <v>263.2</v>
      </c>
      <c r="I5" s="35">
        <f t="shared" si="2"/>
        <v>5000.8</v>
      </c>
      <c r="J5" s="34" t="str">
        <f t="shared" si="3"/>
        <v>Not Eligible</v>
      </c>
      <c r="K5" s="7"/>
      <c r="L5" s="15" t="s">
        <v>150</v>
      </c>
      <c r="M5" s="32">
        <v>0.15</v>
      </c>
      <c r="N5" s="7"/>
      <c r="O5" s="7"/>
      <c r="P5" s="7"/>
      <c r="Q5" s="7"/>
      <c r="R5" s="7"/>
      <c r="S5" s="7"/>
      <c r="T5" s="7"/>
      <c r="U5" s="7"/>
      <c r="V5" s="7"/>
      <c r="W5" s="7"/>
      <c r="X5" s="7"/>
      <c r="Y5" s="7"/>
      <c r="Z5" s="7"/>
    </row>
    <row r="6" spans="1:26" ht="14.4">
      <c r="A6" s="8">
        <v>2005</v>
      </c>
      <c r="B6" s="8" t="s">
        <v>73</v>
      </c>
      <c r="C6" s="8" t="s">
        <v>83</v>
      </c>
      <c r="D6" s="8" t="s">
        <v>84</v>
      </c>
      <c r="E6" s="8">
        <v>43388</v>
      </c>
      <c r="F6" s="17">
        <v>44987</v>
      </c>
      <c r="G6" s="36">
        <f t="shared" si="0"/>
        <v>0.15</v>
      </c>
      <c r="H6" s="35">
        <f t="shared" si="1"/>
        <v>6508.2</v>
      </c>
      <c r="I6" s="35">
        <f t="shared" si="2"/>
        <v>36879.800000000003</v>
      </c>
      <c r="J6" s="34" t="str">
        <f t="shared" si="3"/>
        <v>Eligible</v>
      </c>
      <c r="K6" s="7"/>
      <c r="L6" s="7"/>
      <c r="M6" s="7"/>
      <c r="N6" s="7"/>
      <c r="O6" s="7"/>
      <c r="P6" s="7"/>
      <c r="Q6" s="7"/>
      <c r="R6" s="7"/>
      <c r="S6" s="7"/>
      <c r="T6" s="7"/>
      <c r="U6" s="7"/>
      <c r="V6" s="7"/>
      <c r="W6" s="7"/>
      <c r="X6" s="7"/>
    </row>
    <row r="7" spans="1:26" ht="14.4">
      <c r="A7" s="8">
        <v>2006</v>
      </c>
      <c r="B7" s="8" t="s">
        <v>79</v>
      </c>
      <c r="C7" s="8" t="s">
        <v>83</v>
      </c>
      <c r="D7" s="8" t="s">
        <v>85</v>
      </c>
      <c r="E7" s="8">
        <v>19757</v>
      </c>
      <c r="F7" s="17">
        <v>45002</v>
      </c>
      <c r="G7" s="36">
        <f t="shared" si="0"/>
        <v>0.1</v>
      </c>
      <c r="H7" s="35">
        <f t="shared" si="1"/>
        <v>1975.7</v>
      </c>
      <c r="I7" s="35">
        <f t="shared" si="2"/>
        <v>17781.3</v>
      </c>
      <c r="J7" s="34" t="str">
        <f t="shared" si="3"/>
        <v>Not Eligible</v>
      </c>
      <c r="K7" s="7"/>
      <c r="L7" s="31" t="s">
        <v>157</v>
      </c>
      <c r="M7" s="31"/>
      <c r="N7" s="31"/>
      <c r="O7" s="31"/>
      <c r="P7" s="31"/>
      <c r="Q7" s="22"/>
      <c r="R7" s="22"/>
      <c r="S7" s="7"/>
      <c r="T7" s="7"/>
      <c r="U7" s="7"/>
      <c r="V7" s="7"/>
      <c r="W7" s="7"/>
      <c r="X7" s="7"/>
    </row>
    <row r="8" spans="1:26" ht="14.4">
      <c r="A8" s="8">
        <v>2007</v>
      </c>
      <c r="B8" s="8" t="s">
        <v>79</v>
      </c>
      <c r="C8" s="8" t="s">
        <v>81</v>
      </c>
      <c r="D8" s="8" t="s">
        <v>86</v>
      </c>
      <c r="E8" s="8">
        <v>32058</v>
      </c>
      <c r="F8" s="17">
        <v>45017</v>
      </c>
      <c r="G8" s="36">
        <f t="shared" si="0"/>
        <v>0.15</v>
      </c>
      <c r="H8" s="35">
        <f t="shared" si="1"/>
        <v>4808.7</v>
      </c>
      <c r="I8" s="35">
        <f t="shared" si="2"/>
        <v>27249.3</v>
      </c>
      <c r="J8" s="34" t="str">
        <f t="shared" si="3"/>
        <v>Not Eligible</v>
      </c>
      <c r="K8" s="7"/>
      <c r="L8" s="16" t="s">
        <v>68</v>
      </c>
      <c r="M8" s="16" t="s">
        <v>69</v>
      </c>
      <c r="N8" s="16" t="s">
        <v>130</v>
      </c>
      <c r="O8" s="7"/>
      <c r="P8" s="7"/>
      <c r="Q8" s="7"/>
    </row>
    <row r="9" spans="1:26" ht="14.4">
      <c r="A9" s="8">
        <v>2008</v>
      </c>
      <c r="B9" s="8" t="s">
        <v>73</v>
      </c>
      <c r="C9" s="8" t="s">
        <v>81</v>
      </c>
      <c r="D9" s="8" t="s">
        <v>87</v>
      </c>
      <c r="E9" s="8">
        <v>46429</v>
      </c>
      <c r="F9" s="17">
        <v>45032</v>
      </c>
      <c r="G9" s="36">
        <f t="shared" si="0"/>
        <v>0.15</v>
      </c>
      <c r="H9" s="35">
        <f t="shared" si="1"/>
        <v>6964.3499999999995</v>
      </c>
      <c r="I9" s="35">
        <f t="shared" si="2"/>
        <v>39464.65</v>
      </c>
      <c r="J9" s="34" t="str">
        <f t="shared" si="3"/>
        <v>Eligible</v>
      </c>
      <c r="K9" s="7"/>
      <c r="L9" s="7" t="s">
        <v>73</v>
      </c>
      <c r="M9" s="7" t="s">
        <v>81</v>
      </c>
      <c r="N9" s="42">
        <f>SUMIFS(E2:E20,B2:B20,"Laptop",C2:C20,"East")</f>
        <v>31238</v>
      </c>
      <c r="O9" s="7"/>
      <c r="P9" s="7"/>
      <c r="Q9" s="7"/>
    </row>
    <row r="10" spans="1:26" ht="14.4">
      <c r="A10" s="8">
        <v>2009</v>
      </c>
      <c r="B10" s="8" t="s">
        <v>76</v>
      </c>
      <c r="C10" s="8" t="s">
        <v>81</v>
      </c>
      <c r="D10" s="8" t="s">
        <v>88</v>
      </c>
      <c r="E10" s="8">
        <v>19746</v>
      </c>
      <c r="F10" s="17">
        <v>45047</v>
      </c>
      <c r="G10" s="36">
        <f t="shared" si="0"/>
        <v>0.1</v>
      </c>
      <c r="H10" s="35">
        <f t="shared" si="1"/>
        <v>1974.6000000000001</v>
      </c>
      <c r="I10" s="35">
        <f t="shared" si="2"/>
        <v>17771.400000000001</v>
      </c>
      <c r="J10" s="34" t="str">
        <f t="shared" si="3"/>
        <v>Not Eligible</v>
      </c>
      <c r="K10" s="7"/>
      <c r="L10" s="7"/>
      <c r="M10" s="7"/>
      <c r="N10" s="7"/>
      <c r="O10" s="7"/>
      <c r="P10" s="7"/>
      <c r="Q10" s="7"/>
      <c r="R10" s="7"/>
      <c r="S10" s="7"/>
    </row>
    <row r="11" spans="1:26" ht="14.4">
      <c r="A11" s="8">
        <v>2010</v>
      </c>
      <c r="B11" s="8" t="s">
        <v>73</v>
      </c>
      <c r="C11" s="8" t="s">
        <v>74</v>
      </c>
      <c r="D11" s="8" t="s">
        <v>89</v>
      </c>
      <c r="E11" s="8">
        <v>35185</v>
      </c>
      <c r="F11" s="17">
        <v>45062</v>
      </c>
      <c r="G11" s="36">
        <f t="shared" si="0"/>
        <v>0.15</v>
      </c>
      <c r="H11" s="35">
        <f t="shared" si="1"/>
        <v>5277.75</v>
      </c>
      <c r="I11" s="35">
        <f t="shared" si="2"/>
        <v>29907.25</v>
      </c>
      <c r="J11" s="34" t="str">
        <f t="shared" si="3"/>
        <v>Eligible</v>
      </c>
      <c r="K11" s="7"/>
      <c r="L11" s="31" t="s">
        <v>160</v>
      </c>
      <c r="M11" s="31"/>
      <c r="N11" s="31"/>
      <c r="O11" s="31"/>
      <c r="P11" s="31"/>
      <c r="Q11" s="7"/>
      <c r="R11" s="7"/>
      <c r="S11" s="7"/>
      <c r="T11" s="7"/>
      <c r="U11" s="7"/>
      <c r="V11" s="7"/>
      <c r="W11" s="7"/>
      <c r="X11" s="7"/>
      <c r="Y11" s="7"/>
      <c r="Z11" s="7"/>
    </row>
    <row r="12" spans="1:26" ht="14.4">
      <c r="A12" s="8">
        <v>2011</v>
      </c>
      <c r="B12" s="8" t="s">
        <v>73</v>
      </c>
      <c r="C12" s="8" t="s">
        <v>81</v>
      </c>
      <c r="D12" s="8" t="s">
        <v>90</v>
      </c>
      <c r="E12" s="8">
        <v>33920</v>
      </c>
      <c r="F12" s="17">
        <v>45077</v>
      </c>
      <c r="G12" s="36">
        <f t="shared" si="0"/>
        <v>0.15</v>
      </c>
      <c r="H12" s="35">
        <f t="shared" si="1"/>
        <v>5088</v>
      </c>
      <c r="I12" s="35">
        <f t="shared" si="2"/>
        <v>28832</v>
      </c>
      <c r="J12" s="34" t="str">
        <f t="shared" si="3"/>
        <v>Eligible</v>
      </c>
      <c r="K12" s="7"/>
      <c r="L12" s="30" t="s">
        <v>67</v>
      </c>
      <c r="M12" s="30" t="s">
        <v>161</v>
      </c>
      <c r="N12" s="7"/>
      <c r="O12" s="7"/>
      <c r="P12" s="7"/>
      <c r="Q12" s="7"/>
      <c r="R12" s="7"/>
      <c r="S12" s="7"/>
      <c r="T12" s="7"/>
      <c r="U12" s="7"/>
      <c r="V12" s="7"/>
      <c r="W12" s="7"/>
      <c r="X12" s="7"/>
      <c r="Y12" s="7"/>
      <c r="Z12" s="7"/>
    </row>
    <row r="13" spans="1:26" ht="14.4">
      <c r="A13" s="8">
        <v>2012</v>
      </c>
      <c r="B13" s="8" t="s">
        <v>91</v>
      </c>
      <c r="C13" s="8" t="s">
        <v>83</v>
      </c>
      <c r="D13" s="8" t="s">
        <v>92</v>
      </c>
      <c r="E13" s="8">
        <v>35611</v>
      </c>
      <c r="F13" s="17">
        <v>45092</v>
      </c>
      <c r="G13" s="36">
        <f t="shared" si="0"/>
        <v>0.15</v>
      </c>
      <c r="H13" s="35">
        <f t="shared" si="1"/>
        <v>5341.65</v>
      </c>
      <c r="I13" s="35">
        <f t="shared" si="2"/>
        <v>30269.35</v>
      </c>
      <c r="J13" s="34" t="str">
        <f t="shared" si="3"/>
        <v>Not Eligible</v>
      </c>
      <c r="K13" s="7"/>
      <c r="L13" s="8">
        <v>2001</v>
      </c>
      <c r="M13" s="43">
        <f>VLOOKUP(A2,A2:E21,5,FALSE)</f>
        <v>7048</v>
      </c>
      <c r="N13" s="7"/>
      <c r="O13" s="7"/>
      <c r="P13" s="7"/>
      <c r="Q13" s="7"/>
      <c r="R13" s="7"/>
      <c r="S13" s="7"/>
      <c r="T13" s="7"/>
      <c r="U13" s="7"/>
      <c r="V13" s="7"/>
      <c r="W13" s="7"/>
      <c r="X13" s="7"/>
      <c r="Y13" s="7"/>
      <c r="Z13" s="7"/>
    </row>
    <row r="14" spans="1:26" ht="14.4">
      <c r="A14" s="8">
        <v>2013</v>
      </c>
      <c r="B14" s="8" t="s">
        <v>93</v>
      </c>
      <c r="C14" s="8" t="s">
        <v>81</v>
      </c>
      <c r="D14" s="8" t="s">
        <v>94</v>
      </c>
      <c r="E14" s="8">
        <v>15560</v>
      </c>
      <c r="F14" s="17">
        <v>45107</v>
      </c>
      <c r="G14" s="36">
        <f t="shared" si="0"/>
        <v>0.1</v>
      </c>
      <c r="H14" s="35">
        <f t="shared" si="1"/>
        <v>1556</v>
      </c>
      <c r="I14" s="35">
        <f t="shared" si="2"/>
        <v>14004</v>
      </c>
      <c r="J14" s="34" t="str">
        <f t="shared" si="3"/>
        <v>Eligible</v>
      </c>
      <c r="K14" s="7"/>
      <c r="L14" s="7"/>
      <c r="M14" s="7"/>
      <c r="N14" s="7"/>
      <c r="O14" s="7"/>
      <c r="P14" s="7"/>
      <c r="Q14" s="7"/>
      <c r="R14" s="7"/>
      <c r="S14" s="7"/>
      <c r="T14" s="7"/>
      <c r="U14" s="7"/>
      <c r="V14" s="7"/>
      <c r="W14" s="7"/>
      <c r="X14" s="7"/>
      <c r="Y14" s="7"/>
      <c r="Z14" s="7"/>
    </row>
    <row r="15" spans="1:26" ht="14.4">
      <c r="A15" s="8">
        <v>2014</v>
      </c>
      <c r="B15" s="8" t="s">
        <v>93</v>
      </c>
      <c r="C15" s="8" t="s">
        <v>74</v>
      </c>
      <c r="D15" s="8" t="s">
        <v>95</v>
      </c>
      <c r="E15" s="8">
        <v>7283</v>
      </c>
      <c r="F15" s="17">
        <v>45122</v>
      </c>
      <c r="G15" s="36">
        <f t="shared" si="0"/>
        <v>0.05</v>
      </c>
      <c r="H15" s="35">
        <f t="shared" si="1"/>
        <v>364.15000000000003</v>
      </c>
      <c r="I15" s="35">
        <f t="shared" si="2"/>
        <v>6918.85</v>
      </c>
      <c r="J15" s="34" t="str">
        <f t="shared" si="3"/>
        <v>Eligible</v>
      </c>
      <c r="K15" s="7"/>
      <c r="L15" s="37" t="s">
        <v>162</v>
      </c>
      <c r="M15" s="38"/>
      <c r="N15" s="38"/>
      <c r="O15" s="38"/>
      <c r="P15" s="38"/>
      <c r="Q15" s="7"/>
      <c r="R15" s="7"/>
      <c r="S15" s="7"/>
      <c r="T15" s="7"/>
      <c r="U15" s="7"/>
      <c r="V15" s="7"/>
      <c r="W15" s="7"/>
      <c r="X15" s="7"/>
      <c r="Y15" s="7"/>
      <c r="Z15" s="7"/>
    </row>
    <row r="16" spans="1:26" ht="14.4">
      <c r="A16" s="8">
        <v>2015</v>
      </c>
      <c r="B16" s="8" t="s">
        <v>93</v>
      </c>
      <c r="C16" s="8" t="s">
        <v>81</v>
      </c>
      <c r="D16" s="8" t="s">
        <v>96</v>
      </c>
      <c r="E16" s="8">
        <v>15678</v>
      </c>
      <c r="F16" s="17">
        <v>45137</v>
      </c>
      <c r="G16" s="36">
        <f t="shared" si="0"/>
        <v>0.1</v>
      </c>
      <c r="H16" s="35">
        <f t="shared" si="1"/>
        <v>1567.8000000000002</v>
      </c>
      <c r="I16" s="35">
        <f t="shared" si="2"/>
        <v>14110.2</v>
      </c>
      <c r="J16" s="34" t="str">
        <f t="shared" si="3"/>
        <v>Eligible</v>
      </c>
      <c r="K16" s="7"/>
      <c r="L16" s="30" t="s">
        <v>163</v>
      </c>
      <c r="M16" s="30" t="s">
        <v>166</v>
      </c>
      <c r="N16" s="30" t="s">
        <v>165</v>
      </c>
      <c r="O16" s="7"/>
      <c r="P16" s="7"/>
      <c r="Q16" s="7"/>
      <c r="R16" s="7"/>
      <c r="S16" s="7"/>
      <c r="T16" s="7"/>
      <c r="U16" s="7"/>
      <c r="V16" s="7"/>
      <c r="W16" s="7"/>
      <c r="X16" s="7"/>
      <c r="Y16" s="7"/>
      <c r="Z16" s="7"/>
    </row>
    <row r="17" spans="1:26" ht="14.4">
      <c r="A17" s="8">
        <v>2016</v>
      </c>
      <c r="B17" s="8" t="s">
        <v>79</v>
      </c>
      <c r="C17" s="8" t="s">
        <v>81</v>
      </c>
      <c r="D17" s="8" t="s">
        <v>97</v>
      </c>
      <c r="E17" s="8">
        <v>5277</v>
      </c>
      <c r="F17" s="17">
        <v>45152</v>
      </c>
      <c r="G17" s="36">
        <f t="shared" si="0"/>
        <v>0.05</v>
      </c>
      <c r="H17" s="35">
        <f t="shared" si="1"/>
        <v>263.85000000000002</v>
      </c>
      <c r="I17" s="35">
        <f t="shared" si="2"/>
        <v>5013.1499999999996</v>
      </c>
      <c r="J17" s="34" t="str">
        <f t="shared" si="3"/>
        <v>Not Eligible</v>
      </c>
      <c r="K17" s="7"/>
      <c r="L17" s="8" t="s">
        <v>86</v>
      </c>
      <c r="M17" s="41" t="s">
        <v>164</v>
      </c>
      <c r="N17" s="43" cm="1">
        <f t="array" ref="N17">INDEX(E2:E20, MATCH(1, (D2:D20=L17)*(MONTH(F2:F20)=4), 0))</f>
        <v>32058</v>
      </c>
      <c r="O17" s="7"/>
      <c r="P17" s="7"/>
      <c r="Q17" s="7"/>
      <c r="R17" s="7"/>
      <c r="S17" s="7"/>
      <c r="T17" s="7"/>
      <c r="U17" s="7"/>
      <c r="V17" s="7"/>
      <c r="W17" s="7"/>
      <c r="X17" s="7"/>
      <c r="Y17" s="7"/>
      <c r="Z17" s="7"/>
    </row>
    <row r="18" spans="1:26" ht="14.4">
      <c r="A18" s="8">
        <v>2017</v>
      </c>
      <c r="B18" s="8" t="s">
        <v>91</v>
      </c>
      <c r="C18" s="8" t="s">
        <v>83</v>
      </c>
      <c r="D18" s="8" t="s">
        <v>98</v>
      </c>
      <c r="E18" s="8">
        <v>41871</v>
      </c>
      <c r="F18" s="17">
        <v>45167</v>
      </c>
      <c r="G18" s="36">
        <f t="shared" si="0"/>
        <v>0.15</v>
      </c>
      <c r="H18" s="35">
        <f t="shared" si="1"/>
        <v>6280.65</v>
      </c>
      <c r="I18" s="35">
        <f t="shared" si="2"/>
        <v>35590.35</v>
      </c>
      <c r="J18" s="34" t="str">
        <f t="shared" si="3"/>
        <v>Not Eligible</v>
      </c>
      <c r="K18" s="7"/>
      <c r="L18" s="7"/>
      <c r="M18" s="7"/>
      <c r="N18" s="42" cm="1">
        <f t="array" ref="N18">_xlfn.XLOOKUP(1,(D2:D20="Person 7")*(MONTH(F2:F20)=4),E2:E20)</f>
        <v>32058</v>
      </c>
      <c r="O18" s="7"/>
      <c r="P18" s="7"/>
      <c r="Q18" s="7"/>
      <c r="R18" s="7"/>
      <c r="S18" s="7"/>
      <c r="T18" s="7"/>
      <c r="U18" s="7"/>
      <c r="V18" s="7"/>
      <c r="W18" s="7"/>
      <c r="X18" s="7"/>
      <c r="Y18" s="7"/>
      <c r="Z18" s="7"/>
    </row>
    <row r="19" spans="1:26" ht="14.4">
      <c r="A19" s="8">
        <v>2018</v>
      </c>
      <c r="B19" s="8" t="s">
        <v>91</v>
      </c>
      <c r="C19" s="8" t="s">
        <v>77</v>
      </c>
      <c r="D19" s="8" t="s">
        <v>99</v>
      </c>
      <c r="E19" s="8">
        <v>38161</v>
      </c>
      <c r="F19" s="17">
        <v>45182</v>
      </c>
      <c r="G19" s="36">
        <f t="shared" si="0"/>
        <v>0.15</v>
      </c>
      <c r="H19" s="35">
        <f t="shared" si="1"/>
        <v>5724.15</v>
      </c>
      <c r="I19" s="35">
        <f t="shared" si="2"/>
        <v>32436.85</v>
      </c>
      <c r="J19" s="34" t="str">
        <f t="shared" si="3"/>
        <v>Not Eligible</v>
      </c>
      <c r="K19" s="7"/>
      <c r="L19" s="7"/>
      <c r="M19" s="7"/>
      <c r="N19" s="7"/>
      <c r="O19" s="7"/>
      <c r="P19" s="7"/>
      <c r="Q19" s="7"/>
      <c r="R19" s="7"/>
      <c r="S19" s="7"/>
      <c r="T19" s="7"/>
      <c r="U19" s="7"/>
      <c r="V19" s="7"/>
      <c r="W19" s="7"/>
      <c r="X19" s="7"/>
      <c r="Y19" s="7"/>
      <c r="Z19" s="7"/>
    </row>
    <row r="20" spans="1:26" ht="14.4">
      <c r="A20" s="8">
        <v>2019</v>
      </c>
      <c r="B20" s="8" t="s">
        <v>79</v>
      </c>
      <c r="C20" s="8" t="s">
        <v>77</v>
      </c>
      <c r="D20" s="8" t="s">
        <v>100</v>
      </c>
      <c r="E20" s="8">
        <v>30436</v>
      </c>
      <c r="F20" s="17">
        <v>45197</v>
      </c>
      <c r="G20" s="36">
        <f t="shared" si="0"/>
        <v>0.15</v>
      </c>
      <c r="H20" s="35">
        <f t="shared" si="1"/>
        <v>4565.3999999999996</v>
      </c>
      <c r="I20" s="35">
        <f t="shared" si="2"/>
        <v>25870.6</v>
      </c>
      <c r="J20" s="34" t="str">
        <f t="shared" si="3"/>
        <v>Not Eligible</v>
      </c>
      <c r="K20" s="7"/>
      <c r="L20" s="48" t="s">
        <v>172</v>
      </c>
      <c r="M20" s="48"/>
      <c r="N20" s="48"/>
      <c r="O20" s="48"/>
      <c r="P20" s="48"/>
      <c r="Q20" s="48"/>
      <c r="R20" s="7"/>
      <c r="S20" s="7"/>
      <c r="T20" s="7"/>
      <c r="U20" s="7"/>
      <c r="V20" s="7"/>
      <c r="W20" s="7"/>
      <c r="X20" s="7"/>
      <c r="Y20" s="7"/>
      <c r="Z20" s="7"/>
    </row>
    <row r="21" spans="1:26" ht="15.75" customHeight="1">
      <c r="A21" s="8">
        <v>2020</v>
      </c>
      <c r="B21" s="8" t="s">
        <v>76</v>
      </c>
      <c r="C21" s="8" t="s">
        <v>77</v>
      </c>
      <c r="D21" s="8" t="s">
        <v>101</v>
      </c>
      <c r="E21" s="8">
        <v>33953</v>
      </c>
      <c r="F21" s="17">
        <v>45212</v>
      </c>
      <c r="G21" s="36">
        <f t="shared" si="0"/>
        <v>0.15</v>
      </c>
      <c r="H21" s="35">
        <f t="shared" si="1"/>
        <v>5092.95</v>
      </c>
      <c r="I21" s="35">
        <f t="shared" si="2"/>
        <v>28860.05</v>
      </c>
      <c r="J21" s="34" t="str">
        <f t="shared" si="3"/>
        <v>Not Eligible</v>
      </c>
      <c r="K21" s="7"/>
      <c r="L21" s="30" t="s">
        <v>67</v>
      </c>
      <c r="M21" s="30" t="s">
        <v>70</v>
      </c>
      <c r="N21" s="7"/>
      <c r="O21" s="7"/>
      <c r="P21" s="7"/>
      <c r="Q21" s="7"/>
      <c r="R21" s="7"/>
      <c r="S21" s="7"/>
      <c r="T21" s="7"/>
      <c r="U21" s="7"/>
      <c r="V21" s="7"/>
      <c r="W21" s="7"/>
      <c r="X21" s="7"/>
      <c r="Y21" s="7"/>
      <c r="Z21" s="7"/>
    </row>
    <row r="22" spans="1:26" ht="15.75" customHeight="1">
      <c r="A22" s="7"/>
      <c r="B22" s="7"/>
      <c r="C22" s="7"/>
      <c r="D22" s="7"/>
      <c r="E22" s="46"/>
      <c r="F22" s="7"/>
      <c r="G22" s="7"/>
      <c r="H22" s="7"/>
      <c r="I22" s="7"/>
      <c r="J22" s="7"/>
      <c r="K22" s="7"/>
      <c r="L22" s="8">
        <v>2008</v>
      </c>
      <c r="M22" s="43" t="str">
        <f>_xlfn.XLOOKUP(L22,A2:A21,D2:D21,"Not Found",0,1)</f>
        <v>Person 8</v>
      </c>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49" t="s">
        <v>174</v>
      </c>
      <c r="M24" s="50"/>
      <c r="N24" s="50"/>
      <c r="O24" s="50"/>
      <c r="P24" s="50"/>
      <c r="Q24" s="7"/>
      <c r="R24" s="7"/>
      <c r="S24" s="7"/>
      <c r="T24" s="7"/>
      <c r="U24" s="7"/>
      <c r="V24" s="7"/>
      <c r="W24" s="7"/>
      <c r="X24" s="7"/>
      <c r="Y24" s="7"/>
      <c r="Z24" s="7"/>
    </row>
    <row r="25" spans="1:26" ht="15.75" customHeight="1">
      <c r="A25" s="7"/>
      <c r="B25" s="7"/>
      <c r="C25" s="7"/>
      <c r="D25" s="7"/>
      <c r="E25" s="7"/>
      <c r="F25" s="7"/>
      <c r="G25" s="7"/>
      <c r="H25" s="7"/>
      <c r="I25" s="7"/>
      <c r="J25" s="7"/>
      <c r="K25" s="7"/>
      <c r="L25" s="30" t="s">
        <v>67</v>
      </c>
      <c r="M25" s="30" t="s">
        <v>175</v>
      </c>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8">
        <v>2008</v>
      </c>
      <c r="M26" s="43">
        <f>_xlfn.XMATCH(L26,A2:A21,0,1)</f>
        <v>8</v>
      </c>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49" t="s">
        <v>179</v>
      </c>
      <c r="M28" s="50"/>
      <c r="N28" s="50"/>
      <c r="O28" s="50"/>
      <c r="P28" s="50"/>
      <c r="Q28" s="7"/>
      <c r="R28" s="7"/>
      <c r="S28" s="7"/>
      <c r="T28" s="7"/>
      <c r="U28" s="7"/>
      <c r="V28" s="7"/>
      <c r="W28" s="7"/>
      <c r="X28" s="7"/>
      <c r="Y28" s="7"/>
      <c r="Z28" s="7"/>
    </row>
    <row r="29" spans="1:26" ht="15.75" customHeight="1">
      <c r="A29" s="7"/>
      <c r="B29" s="7"/>
      <c r="C29" s="7"/>
      <c r="D29" s="7"/>
      <c r="E29" s="7"/>
      <c r="F29" s="7"/>
      <c r="G29" s="7"/>
      <c r="H29" s="7"/>
      <c r="I29" s="7"/>
      <c r="J29" s="7"/>
      <c r="K29" s="7"/>
      <c r="L29" s="42">
        <f ca="1">SUM(OFFSET(E2,0,0,COUNTA(E2:E100),1))</f>
        <v>507725</v>
      </c>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49" t="s">
        <v>181</v>
      </c>
      <c r="M31" s="50"/>
      <c r="N31" s="50"/>
      <c r="O31" s="50"/>
      <c r="P31" s="50"/>
      <c r="Q31" s="7"/>
      <c r="R31" s="7"/>
      <c r="S31" s="7"/>
      <c r="T31" s="7"/>
      <c r="U31" s="7"/>
      <c r="V31" s="7"/>
      <c r="W31" s="7"/>
      <c r="X31" s="7"/>
      <c r="Y31" s="7"/>
      <c r="Z31" s="7"/>
    </row>
    <row r="32" spans="1:26" ht="15.75" customHeight="1">
      <c r="A32" s="7"/>
      <c r="B32" s="7"/>
      <c r="C32" s="7"/>
      <c r="D32" s="7"/>
      <c r="E32" s="7"/>
      <c r="F32" s="7"/>
      <c r="G32" s="7"/>
      <c r="H32" s="7"/>
      <c r="I32" s="7"/>
      <c r="J32" s="7"/>
      <c r="K32" s="7"/>
      <c r="L32" s="43">
        <f>F7-F2</f>
        <v>75</v>
      </c>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L28:P28"/>
    <mergeCell ref="L31:P31"/>
    <mergeCell ref="L20:Q20"/>
    <mergeCell ref="L24:P24"/>
    <mergeCell ref="L11:P11"/>
    <mergeCell ref="L1:P1"/>
    <mergeCell ref="L7:P7"/>
    <mergeCell ref="L15:P15"/>
  </mergeCells>
  <pageMargins left="0.75" right="0.75" top="1" bottom="1" header="0" footer="0"/>
  <pageSetup orientation="landscape"/>
  <ignoredErrors>
    <ignoredError sqref="N9 N17:N19" formulaRange="1"/>
  </ignoredErrors>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G23" sqref="G23"/>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8" width="8.6640625" customWidth="1"/>
    <col min="9" max="9" width="13.21875" customWidth="1"/>
    <col min="10" max="10" width="10.77734375" customWidth="1"/>
    <col min="11" max="11" width="9.44140625" customWidth="1"/>
    <col min="12" max="25" width="8.6640625" customWidth="1"/>
  </cols>
  <sheetData>
    <row r="1" spans="1:25" ht="14.4">
      <c r="A1" s="6" t="s">
        <v>102</v>
      </c>
      <c r="B1" s="6" t="s">
        <v>42</v>
      </c>
      <c r="C1" s="6" t="s">
        <v>103</v>
      </c>
      <c r="D1" s="6" t="s">
        <v>104</v>
      </c>
      <c r="E1" s="6" t="s">
        <v>105</v>
      </c>
      <c r="F1" s="7"/>
      <c r="G1" s="7"/>
      <c r="H1" s="7"/>
      <c r="I1" s="44" t="s">
        <v>167</v>
      </c>
      <c r="J1" s="44"/>
      <c r="K1" s="44"/>
      <c r="L1" s="44"/>
      <c r="M1" s="44"/>
      <c r="N1" s="44"/>
      <c r="O1" s="44"/>
      <c r="P1" s="7"/>
      <c r="Q1" s="7"/>
      <c r="R1" s="7"/>
      <c r="S1" s="7"/>
      <c r="T1" s="7"/>
      <c r="U1" s="7"/>
      <c r="V1" s="7"/>
      <c r="W1" s="7"/>
      <c r="X1" s="7"/>
      <c r="Y1" s="7"/>
    </row>
    <row r="2" spans="1:25" ht="14.4">
      <c r="A2" s="8">
        <v>3001</v>
      </c>
      <c r="B2" s="8" t="s">
        <v>106</v>
      </c>
      <c r="C2" s="8" t="s">
        <v>107</v>
      </c>
      <c r="D2" s="8">
        <v>86766</v>
      </c>
      <c r="E2" s="9">
        <v>42005</v>
      </c>
      <c r="F2" s="7"/>
      <c r="G2" s="7"/>
      <c r="H2" s="7"/>
      <c r="I2" s="42" t="str">
        <f>_xlfn.XLOOKUP(A6, A2:A21, B2:B21)</f>
        <v>Employee 5</v>
      </c>
      <c r="J2" s="7"/>
      <c r="K2" s="7"/>
      <c r="L2" s="7"/>
      <c r="M2" s="7"/>
      <c r="N2" s="7"/>
      <c r="O2" s="7"/>
      <c r="P2" s="7"/>
      <c r="Q2" s="7"/>
      <c r="R2" s="7"/>
      <c r="S2" s="7"/>
      <c r="T2" s="7"/>
      <c r="U2" s="7"/>
      <c r="V2" s="7"/>
      <c r="W2" s="7"/>
      <c r="X2" s="7"/>
      <c r="Y2" s="7"/>
    </row>
    <row r="3" spans="1:25" ht="14.4">
      <c r="A3" s="8">
        <v>3002</v>
      </c>
      <c r="B3" s="8" t="s">
        <v>108</v>
      </c>
      <c r="C3" s="8" t="s">
        <v>107</v>
      </c>
      <c r="D3" s="8">
        <v>31943</v>
      </c>
      <c r="E3" s="9">
        <v>42255</v>
      </c>
      <c r="F3" s="7"/>
      <c r="G3" s="7"/>
      <c r="H3" s="7"/>
      <c r="I3" s="42" t="str">
        <f>INDEX(B1:E20,MATCH(A5,A1:A20,0),2)</f>
        <v>Finance</v>
      </c>
      <c r="J3" s="7"/>
      <c r="K3" s="7"/>
      <c r="L3" s="7"/>
      <c r="M3" s="7"/>
      <c r="N3" s="7"/>
      <c r="O3" s="7"/>
      <c r="P3" s="7"/>
      <c r="Q3" s="7"/>
      <c r="R3" s="7"/>
      <c r="S3" s="7"/>
      <c r="T3" s="7"/>
      <c r="U3" s="7"/>
      <c r="V3" s="7"/>
      <c r="W3" s="7"/>
      <c r="X3" s="7"/>
      <c r="Y3" s="7"/>
    </row>
    <row r="4" spans="1:25" ht="14.4">
      <c r="A4" s="8">
        <v>3003</v>
      </c>
      <c r="B4" s="8" t="s">
        <v>109</v>
      </c>
      <c r="C4" s="8" t="s">
        <v>110</v>
      </c>
      <c r="D4" s="8">
        <v>63374</v>
      </c>
      <c r="E4" s="9">
        <v>42505</v>
      </c>
      <c r="F4" s="7"/>
      <c r="G4" s="7"/>
      <c r="H4" s="7"/>
      <c r="I4" s="7"/>
      <c r="J4" s="7"/>
      <c r="K4" s="7"/>
      <c r="L4" s="7"/>
      <c r="M4" s="7"/>
      <c r="N4" s="7"/>
      <c r="O4" s="7"/>
      <c r="P4" s="7"/>
      <c r="Q4" s="7"/>
      <c r="R4" s="7"/>
      <c r="S4" s="7"/>
      <c r="T4" s="7"/>
      <c r="U4" s="7"/>
      <c r="V4" s="7"/>
      <c r="W4" s="7"/>
      <c r="X4" s="7"/>
      <c r="Y4" s="7"/>
    </row>
    <row r="5" spans="1:25" ht="14.4">
      <c r="A5" s="8">
        <v>3004</v>
      </c>
      <c r="B5" s="8" t="s">
        <v>111</v>
      </c>
      <c r="C5" s="8" t="s">
        <v>107</v>
      </c>
      <c r="D5" s="8">
        <v>109972</v>
      </c>
      <c r="E5" s="9">
        <v>42755</v>
      </c>
      <c r="F5" s="7"/>
      <c r="G5" s="7"/>
      <c r="H5" s="7"/>
      <c r="I5" s="44" t="s">
        <v>169</v>
      </c>
      <c r="J5" s="44"/>
      <c r="K5" s="44"/>
      <c r="L5" s="44"/>
      <c r="M5" s="44"/>
      <c r="N5" s="44"/>
      <c r="O5" s="44"/>
      <c r="P5" s="7"/>
      <c r="Q5" s="7"/>
      <c r="R5" s="7"/>
      <c r="S5" s="7"/>
      <c r="T5" s="7"/>
      <c r="U5" s="7"/>
      <c r="V5" s="7"/>
      <c r="W5" s="7"/>
      <c r="X5" s="7"/>
      <c r="Y5" s="7"/>
    </row>
    <row r="6" spans="1:25" ht="14.4">
      <c r="A6" s="8">
        <v>3005</v>
      </c>
      <c r="B6" s="8" t="s">
        <v>112</v>
      </c>
      <c r="C6" s="8" t="s">
        <v>113</v>
      </c>
      <c r="D6" s="8">
        <v>54149</v>
      </c>
      <c r="E6" s="9">
        <v>43005</v>
      </c>
      <c r="F6" s="7"/>
      <c r="G6" s="7"/>
      <c r="H6" s="7"/>
      <c r="I6" s="30" t="s">
        <v>170</v>
      </c>
      <c r="J6" s="30" t="s">
        <v>171</v>
      </c>
      <c r="K6" s="7"/>
      <c r="L6" s="7"/>
      <c r="M6" s="7"/>
      <c r="N6" s="7"/>
      <c r="O6" s="7"/>
      <c r="P6" s="7"/>
      <c r="Q6" s="7"/>
      <c r="R6" s="7"/>
      <c r="S6" s="7"/>
      <c r="T6" s="7"/>
      <c r="U6" s="7"/>
      <c r="V6" s="7"/>
      <c r="W6" s="7"/>
      <c r="X6" s="7"/>
      <c r="Y6" s="7"/>
    </row>
    <row r="7" spans="1:25" ht="14.4">
      <c r="A7" s="8">
        <v>3006</v>
      </c>
      <c r="B7" s="8" t="s">
        <v>114</v>
      </c>
      <c r="C7" s="8" t="s">
        <v>113</v>
      </c>
      <c r="D7" s="8">
        <v>78689</v>
      </c>
      <c r="E7" s="9">
        <v>43255</v>
      </c>
      <c r="F7" s="7"/>
      <c r="G7" s="7"/>
      <c r="H7" s="7"/>
      <c r="I7" s="43" t="str">
        <f>UPPER(C2)</f>
        <v>FINANCE</v>
      </c>
      <c r="J7" s="43" t="str">
        <f>LOWER(C4)</f>
        <v>hr</v>
      </c>
      <c r="K7" s="7"/>
      <c r="L7" s="7"/>
      <c r="M7" s="7"/>
      <c r="N7" s="7"/>
      <c r="O7" s="7"/>
      <c r="P7" s="7"/>
      <c r="Q7" s="7"/>
      <c r="R7" s="7"/>
      <c r="S7" s="7"/>
      <c r="T7" s="7"/>
      <c r="U7" s="7"/>
      <c r="V7" s="7"/>
      <c r="W7" s="7"/>
      <c r="X7" s="7"/>
      <c r="Y7" s="7"/>
    </row>
    <row r="8" spans="1:25" ht="14.4">
      <c r="A8" s="8">
        <v>3007</v>
      </c>
      <c r="B8" s="8" t="s">
        <v>115</v>
      </c>
      <c r="C8" s="8" t="s">
        <v>116</v>
      </c>
      <c r="D8" s="8">
        <v>35960</v>
      </c>
      <c r="E8" s="9">
        <v>43505</v>
      </c>
      <c r="F8" s="7"/>
      <c r="G8" s="7"/>
      <c r="H8" s="7"/>
      <c r="I8" s="7"/>
      <c r="J8" s="7"/>
      <c r="K8" s="7"/>
      <c r="L8" s="7"/>
      <c r="M8" s="7"/>
      <c r="N8" s="7"/>
      <c r="O8" s="7"/>
      <c r="P8" s="7"/>
      <c r="Q8" s="7"/>
      <c r="R8" s="7"/>
      <c r="S8" s="7"/>
      <c r="T8" s="7"/>
      <c r="U8" s="7"/>
      <c r="V8" s="7"/>
      <c r="W8" s="7"/>
      <c r="X8" s="7"/>
      <c r="Y8" s="7"/>
    </row>
    <row r="9" spans="1:25" ht="14.4">
      <c r="A9" s="8">
        <v>3008</v>
      </c>
      <c r="B9" s="8" t="s">
        <v>117</v>
      </c>
      <c r="C9" s="8" t="s">
        <v>113</v>
      </c>
      <c r="D9" s="8">
        <v>91659</v>
      </c>
      <c r="E9" s="9">
        <v>43755</v>
      </c>
      <c r="F9" s="7"/>
      <c r="G9" s="7"/>
      <c r="H9" s="7"/>
      <c r="I9" s="7"/>
      <c r="J9" s="7"/>
      <c r="K9" s="7"/>
      <c r="L9" s="7"/>
      <c r="M9" s="7"/>
      <c r="N9" s="7"/>
      <c r="O9" s="7"/>
      <c r="P9" s="7"/>
      <c r="Q9" s="7"/>
      <c r="R9" s="7"/>
      <c r="S9" s="7"/>
      <c r="T9" s="7"/>
      <c r="U9" s="7"/>
      <c r="V9" s="7"/>
      <c r="W9" s="7"/>
      <c r="X9" s="7"/>
      <c r="Y9" s="7"/>
    </row>
    <row r="10" spans="1:25" ht="14.4">
      <c r="A10" s="8">
        <v>3009</v>
      </c>
      <c r="B10" s="8" t="s">
        <v>118</v>
      </c>
      <c r="C10" s="8" t="s">
        <v>113</v>
      </c>
      <c r="D10" s="8">
        <v>90423</v>
      </c>
      <c r="E10" s="9">
        <v>44005</v>
      </c>
      <c r="F10" s="7"/>
      <c r="G10" s="7"/>
      <c r="H10" s="7"/>
      <c r="I10" s="47" t="s">
        <v>173</v>
      </c>
      <c r="J10" s="47"/>
      <c r="K10" s="47"/>
      <c r="L10" s="47"/>
      <c r="M10" s="47"/>
      <c r="N10" s="47"/>
      <c r="O10" s="47"/>
      <c r="P10" s="7"/>
      <c r="Q10" s="7"/>
      <c r="R10" s="7"/>
      <c r="S10" s="7"/>
      <c r="T10" s="7"/>
      <c r="U10" s="7"/>
      <c r="V10" s="7"/>
      <c r="W10" s="7"/>
      <c r="X10" s="7"/>
      <c r="Y10" s="7"/>
    </row>
    <row r="11" spans="1:25" ht="14.4">
      <c r="A11" s="8">
        <v>3010</v>
      </c>
      <c r="B11" s="8" t="s">
        <v>119</v>
      </c>
      <c r="C11" s="8" t="s">
        <v>110</v>
      </c>
      <c r="D11" s="8">
        <v>107877</v>
      </c>
      <c r="E11" s="9">
        <v>44255</v>
      </c>
      <c r="F11" s="7"/>
      <c r="G11" s="7"/>
      <c r="H11" s="7"/>
      <c r="I11" s="30" t="s">
        <v>102</v>
      </c>
      <c r="J11" s="30" t="s">
        <v>104</v>
      </c>
      <c r="K11" s="7"/>
      <c r="L11" s="7"/>
      <c r="M11" s="7"/>
      <c r="N11" s="7"/>
      <c r="O11" s="7"/>
      <c r="P11" s="7"/>
      <c r="Q11" s="7"/>
      <c r="R11" s="7"/>
      <c r="S11" s="7"/>
      <c r="T11" s="7"/>
      <c r="U11" s="7"/>
      <c r="V11" s="7"/>
      <c r="W11" s="7"/>
      <c r="X11" s="7"/>
      <c r="Y11" s="7"/>
    </row>
    <row r="12" spans="1:25" ht="14.4">
      <c r="A12" s="8">
        <v>3011</v>
      </c>
      <c r="B12" s="8" t="s">
        <v>120</v>
      </c>
      <c r="C12" s="8" t="s">
        <v>107</v>
      </c>
      <c r="D12" s="8">
        <v>107634</v>
      </c>
      <c r="E12" s="9">
        <v>44505</v>
      </c>
      <c r="F12" s="7"/>
      <c r="G12" s="7"/>
      <c r="H12" s="7"/>
      <c r="I12" s="7">
        <v>3004</v>
      </c>
      <c r="J12" s="43">
        <f>_xlfn.XLOOKUP(I12,A2:A21,D2:D21,"Not Found")</f>
        <v>109972</v>
      </c>
      <c r="K12" s="7"/>
      <c r="L12" s="7"/>
      <c r="M12" s="7"/>
      <c r="N12" s="7"/>
      <c r="O12" s="7"/>
      <c r="P12" s="7"/>
      <c r="Q12" s="7"/>
      <c r="R12" s="7"/>
      <c r="S12" s="7"/>
      <c r="T12" s="7"/>
      <c r="U12" s="7"/>
      <c r="V12" s="7"/>
      <c r="W12" s="7"/>
      <c r="X12" s="7"/>
      <c r="Y12" s="7"/>
    </row>
    <row r="13" spans="1:25" ht="14.4">
      <c r="A13" s="8">
        <v>3012</v>
      </c>
      <c r="B13" s="8" t="s">
        <v>121</v>
      </c>
      <c r="C13" s="8" t="s">
        <v>107</v>
      </c>
      <c r="D13" s="8">
        <v>35226</v>
      </c>
      <c r="E13" s="9">
        <v>44755</v>
      </c>
      <c r="F13" s="7"/>
      <c r="G13" s="7"/>
      <c r="H13" s="7"/>
      <c r="I13" s="7"/>
      <c r="J13" s="7"/>
      <c r="K13" s="7"/>
      <c r="L13" s="7"/>
      <c r="M13" s="7"/>
      <c r="N13" s="7"/>
      <c r="O13" s="7"/>
      <c r="P13" s="7"/>
      <c r="Q13" s="7"/>
      <c r="R13" s="7"/>
      <c r="S13" s="7"/>
      <c r="T13" s="7"/>
      <c r="U13" s="7"/>
      <c r="V13" s="7"/>
      <c r="W13" s="7"/>
      <c r="X13" s="7"/>
      <c r="Y13" s="7"/>
    </row>
    <row r="14" spans="1:25" ht="14.4">
      <c r="A14" s="8">
        <v>3013</v>
      </c>
      <c r="B14" s="8" t="s">
        <v>122</v>
      </c>
      <c r="C14" s="8" t="s">
        <v>110</v>
      </c>
      <c r="D14" s="8">
        <v>40872</v>
      </c>
      <c r="E14" s="9">
        <v>45005</v>
      </c>
      <c r="F14" s="7"/>
      <c r="G14" s="7"/>
      <c r="H14" s="7"/>
      <c r="I14" s="47" t="s">
        <v>176</v>
      </c>
      <c r="J14" s="47"/>
      <c r="K14" s="47"/>
      <c r="L14" s="47"/>
      <c r="M14" s="47"/>
      <c r="N14" s="47"/>
      <c r="O14" s="47"/>
      <c r="P14" s="7"/>
      <c r="Q14" s="7"/>
      <c r="R14" s="7"/>
      <c r="S14" s="7"/>
      <c r="T14" s="7"/>
      <c r="U14" s="7"/>
      <c r="V14" s="7"/>
      <c r="W14" s="7"/>
      <c r="X14" s="7"/>
      <c r="Y14" s="7"/>
    </row>
    <row r="15" spans="1:25" ht="14.4">
      <c r="A15" s="8">
        <v>3014</v>
      </c>
      <c r="B15" s="8" t="s">
        <v>123</v>
      </c>
      <c r="C15" s="8" t="s">
        <v>110</v>
      </c>
      <c r="D15" s="8">
        <v>55378</v>
      </c>
      <c r="E15" s="9">
        <v>45255</v>
      </c>
      <c r="F15" s="7"/>
      <c r="G15" s="7"/>
      <c r="H15" s="7"/>
      <c r="I15" s="16" t="s">
        <v>177</v>
      </c>
      <c r="J15" s="16" t="s">
        <v>42</v>
      </c>
      <c r="K15" s="7"/>
      <c r="L15" s="7"/>
      <c r="M15" s="7"/>
      <c r="N15" s="7"/>
      <c r="O15" s="7"/>
      <c r="P15" s="7"/>
      <c r="Q15" s="7"/>
      <c r="R15" s="7"/>
      <c r="S15" s="7"/>
      <c r="T15" s="7"/>
      <c r="U15" s="7"/>
      <c r="V15" s="7"/>
      <c r="W15" s="7"/>
      <c r="X15" s="7"/>
      <c r="Y15" s="7"/>
    </row>
    <row r="16" spans="1:25" ht="14.4">
      <c r="A16" s="8">
        <v>3015</v>
      </c>
      <c r="B16" s="8" t="s">
        <v>124</v>
      </c>
      <c r="C16" s="8" t="s">
        <v>110</v>
      </c>
      <c r="D16" s="8">
        <v>63297</v>
      </c>
      <c r="E16" s="9">
        <v>45505</v>
      </c>
      <c r="F16" s="7"/>
      <c r="G16" s="7"/>
      <c r="H16" s="7"/>
      <c r="I16" s="46" t="s">
        <v>178</v>
      </c>
      <c r="J16" s="43" t="str" cm="1">
        <f t="array" aca="1" ref="J16" ca="1">INDIRECT(I16)</f>
        <v>Employee 2</v>
      </c>
      <c r="K16" s="7"/>
      <c r="L16" s="7"/>
      <c r="M16" s="7"/>
      <c r="N16" s="7"/>
      <c r="O16" s="7"/>
      <c r="P16" s="7"/>
      <c r="Q16" s="7"/>
      <c r="R16" s="7"/>
      <c r="S16" s="7"/>
      <c r="T16" s="7"/>
      <c r="U16" s="7"/>
      <c r="V16" s="7"/>
      <c r="W16" s="7"/>
      <c r="X16" s="7"/>
      <c r="Y16" s="7"/>
    </row>
    <row r="17" spans="1:25" ht="14.4">
      <c r="A17" s="8">
        <v>3016</v>
      </c>
      <c r="B17" s="8" t="s">
        <v>125</v>
      </c>
      <c r="C17" s="8" t="s">
        <v>107</v>
      </c>
      <c r="D17" s="8">
        <v>114173</v>
      </c>
      <c r="E17" s="9">
        <v>45755</v>
      </c>
      <c r="F17" s="7"/>
      <c r="G17" s="7"/>
      <c r="H17" s="7"/>
      <c r="I17" s="7"/>
      <c r="J17" s="7"/>
      <c r="K17" s="7"/>
      <c r="L17" s="7"/>
      <c r="M17" s="7"/>
      <c r="N17" s="7"/>
      <c r="O17" s="7"/>
      <c r="P17" s="7"/>
      <c r="Q17" s="7"/>
      <c r="R17" s="7"/>
      <c r="S17" s="7"/>
      <c r="T17" s="7"/>
      <c r="U17" s="7"/>
      <c r="V17" s="7"/>
      <c r="W17" s="7"/>
      <c r="X17" s="7"/>
      <c r="Y17" s="7"/>
    </row>
    <row r="18" spans="1:25" ht="14.4">
      <c r="A18" s="8">
        <v>3017</v>
      </c>
      <c r="B18" s="8" t="s">
        <v>126</v>
      </c>
      <c r="C18" s="8" t="s">
        <v>110</v>
      </c>
      <c r="D18" s="8">
        <v>86915</v>
      </c>
      <c r="E18" s="9">
        <v>46005</v>
      </c>
      <c r="F18" s="7"/>
      <c r="G18" s="7"/>
      <c r="H18" s="7"/>
      <c r="I18" s="47" t="s">
        <v>182</v>
      </c>
      <c r="J18" s="47"/>
      <c r="K18" s="47"/>
      <c r="L18" s="47"/>
      <c r="M18" s="47"/>
      <c r="N18" s="47"/>
      <c r="O18" s="47"/>
      <c r="P18" s="7"/>
      <c r="Q18" s="7"/>
      <c r="R18" s="7"/>
      <c r="S18" s="7"/>
      <c r="T18" s="7"/>
      <c r="U18" s="7"/>
      <c r="V18" s="7"/>
      <c r="W18" s="7"/>
      <c r="X18" s="7"/>
      <c r="Y18" s="7"/>
    </row>
    <row r="19" spans="1:25" ht="14.4">
      <c r="A19" s="8">
        <v>3018</v>
      </c>
      <c r="B19" s="8" t="s">
        <v>127</v>
      </c>
      <c r="C19" s="8" t="s">
        <v>113</v>
      </c>
      <c r="D19" s="8">
        <v>116284</v>
      </c>
      <c r="E19" s="9">
        <v>46255</v>
      </c>
      <c r="F19" s="7"/>
      <c r="G19" s="7"/>
      <c r="H19" s="7"/>
      <c r="I19" s="16" t="s">
        <v>183</v>
      </c>
      <c r="J19" s="16" t="s">
        <v>184</v>
      </c>
      <c r="K19" s="16" t="s">
        <v>185</v>
      </c>
      <c r="L19" s="7"/>
      <c r="M19" s="7"/>
      <c r="N19" s="7"/>
      <c r="O19" s="7"/>
      <c r="P19" s="7"/>
      <c r="Q19" s="7"/>
      <c r="R19" s="7"/>
      <c r="S19" s="7"/>
      <c r="T19" s="7"/>
      <c r="U19" s="7"/>
      <c r="V19" s="7"/>
      <c r="W19" s="7"/>
      <c r="X19" s="7"/>
      <c r="Y19" s="7"/>
    </row>
    <row r="20" spans="1:25" ht="14.4">
      <c r="A20" s="8">
        <v>3019</v>
      </c>
      <c r="B20" s="8" t="s">
        <v>128</v>
      </c>
      <c r="C20" s="8" t="s">
        <v>116</v>
      </c>
      <c r="D20" s="8">
        <v>116283</v>
      </c>
      <c r="E20" s="9">
        <v>46505</v>
      </c>
      <c r="F20" s="7"/>
      <c r="G20" s="7"/>
      <c r="H20" s="7"/>
      <c r="I20" s="53">
        <v>1243.67</v>
      </c>
      <c r="J20" s="53">
        <v>1243.67</v>
      </c>
      <c r="K20" s="53">
        <v>1243.67</v>
      </c>
      <c r="L20" s="7"/>
      <c r="M20" s="7"/>
      <c r="N20" s="7"/>
      <c r="O20" s="7"/>
      <c r="P20" s="7"/>
      <c r="Q20" s="7"/>
      <c r="R20" s="7"/>
      <c r="S20" s="7"/>
      <c r="T20" s="7"/>
      <c r="U20" s="7"/>
      <c r="V20" s="7"/>
      <c r="W20" s="7"/>
      <c r="X20" s="7"/>
      <c r="Y20" s="7"/>
    </row>
    <row r="21" spans="1:25" ht="15.75" customHeight="1">
      <c r="A21" s="8">
        <v>3020</v>
      </c>
      <c r="B21" s="8" t="s">
        <v>129</v>
      </c>
      <c r="C21" s="8" t="s">
        <v>116</v>
      </c>
      <c r="D21" s="8">
        <v>99924</v>
      </c>
      <c r="E21" s="9">
        <v>46755</v>
      </c>
      <c r="F21" s="7"/>
      <c r="G21" s="7"/>
      <c r="H21" s="7"/>
      <c r="I21" s="43">
        <f>ROUND(I20,0)</f>
        <v>1244</v>
      </c>
      <c r="J21" s="43">
        <f>CEILING(J20,1)</f>
        <v>1244</v>
      </c>
      <c r="K21" s="43">
        <f>FLOOR(K20,1)</f>
        <v>1243</v>
      </c>
      <c r="L21" s="7"/>
      <c r="M21" s="7"/>
      <c r="N21" s="7"/>
      <c r="O21" s="7"/>
      <c r="P21" s="7"/>
      <c r="Q21" s="7"/>
      <c r="R21" s="7"/>
      <c r="S21" s="7"/>
      <c r="T21" s="7"/>
      <c r="U21" s="7"/>
      <c r="V21" s="7"/>
      <c r="W21" s="7"/>
      <c r="X21" s="7"/>
      <c r="Y21" s="7"/>
    </row>
    <row r="22" spans="1:25" ht="15.75" customHeight="1">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c r="A1000" s="7"/>
      <c r="B1000" s="7"/>
      <c r="C1000" s="7"/>
      <c r="D1000" s="7"/>
      <c r="E1000" s="7"/>
      <c r="F1000" s="7"/>
      <c r="G1000" s="7"/>
      <c r="H1000" s="7"/>
      <c r="K1000" s="7"/>
      <c r="L1000" s="7"/>
      <c r="M1000" s="7"/>
      <c r="N1000" s="7"/>
      <c r="O1000" s="7"/>
      <c r="P1000" s="7"/>
      <c r="Q1000" s="7"/>
      <c r="R1000" s="7"/>
      <c r="S1000" s="7"/>
      <c r="T1000" s="7"/>
      <c r="U1000" s="7"/>
      <c r="V1000" s="7"/>
      <c r="W1000" s="7"/>
      <c r="X1000" s="7"/>
      <c r="Y1000" s="7"/>
    </row>
  </sheetData>
  <mergeCells count="5">
    <mergeCell ref="I10:O10"/>
    <mergeCell ref="I14:O14"/>
    <mergeCell ref="I18:O18"/>
    <mergeCell ref="I1:O1"/>
    <mergeCell ref="I5:O5"/>
  </mergeCells>
  <pageMargins left="0.75" right="0.75" top="1" bottom="1" header="0" footer="0"/>
  <pageSetup orientation="landscape"/>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I T Z Z</dc:creator>
  <cp:lastModifiedBy>R I T Z Z</cp:lastModifiedBy>
  <dcterms:created xsi:type="dcterms:W3CDTF">2026-03-17T18:54:03Z</dcterms:created>
  <dcterms:modified xsi:type="dcterms:W3CDTF">2026-03-17T18:54:05Z</dcterms:modified>
</cp:coreProperties>
</file>